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olors9.xml" ContentType="application/vnd.ms-office.chartcolorstyle+xml"/>
  <Override PartName="/xl/charts/style4.xml" ContentType="application/vnd.ms-office.chartstyle+xml"/>
  <Override PartName="/xl/charts/colors8.xml" ContentType="application/vnd.ms-office.chartcolorstyle+xml"/>
  <Override PartName="/xl/charts/style3.xml" ContentType="application/vnd.ms-office.chartstyle+xml"/>
  <Override PartName="/xl/charts/chart6.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0.xml" ContentType="application/vnd.ms-office.chartcolorstyle+xml"/>
  <Override PartName="/xl/charts/chart7.xml" ContentType="application/vnd.openxmlformats-officedocument.drawingml.chart+xml"/>
  <Override PartName="/xl/charts/style10.xml" ContentType="application/vnd.ms-office.chartstyle+xml"/>
  <Override PartName="/xl/charts/colors2.xml" ContentType="application/vnd.ms-office.chartcolorstyle+xml"/>
  <Override PartName="/xl/charts/chart5.xml" ContentType="application/vnd.openxmlformats-officedocument.drawingml.chart+xml"/>
  <Override PartName="/xl/charts/style11.xml" ContentType="application/vnd.ms-office.chartstyle+xml"/>
  <Override PartName="/xl/charts/colors3.xml" ContentType="application/vnd.ms-office.chartcolorstyle+xml"/>
  <Override PartName="/xl/charts/colors11.xml" ContentType="application/vnd.ms-office.chartcolorstyle+xml"/>
  <Override PartName="/xl/charts/style2.xml" ContentType="application/vnd.ms-office.chartstyle+xml"/>
  <Override PartName="/xl/charts/colors1.xml" ContentType="application/vnd.ms-office.chartcolorstyle+xml"/>
  <Override PartName="/xl/charts/chart2.xml" ContentType="application/vnd.openxmlformats-officedocument.drawingml.chart+xml"/>
  <Override PartName="/xl/charts/chart8.xml" ContentType="application/vnd.openxmlformats-officedocument.drawingml.chart+xml"/>
  <Override PartName="/xl/charts/chart11.xml" ContentType="application/vnd.openxmlformats-officedocument.drawingml.chart+xml"/>
  <Override PartName="/xl/charts/colors7.xml" ContentType="application/vnd.ms-office.chartcolorstyle+xml"/>
  <Override PartName="/xl/charts/colors4.xml" ContentType="application/vnd.ms-office.chartcolorstyle+xml"/>
  <Override PartName="/xl/charts/chart1.xml" ContentType="application/vnd.openxmlformats-officedocument.drawingml.chart+xml"/>
  <Override PartName="/xl/charts/style9.xml" ContentType="application/vnd.ms-office.chartstyle+xml"/>
  <Override PartName="/xl/charts/style1.xml" ContentType="application/vnd.ms-office.chartstyle+xml"/>
  <Override PartName="/xl/charts/chart9.xml" ContentType="application/vnd.openxmlformats-officedocument.drawingml.chart+xml"/>
  <Override PartName="/xl/charts/style8.xml" ContentType="application/vnd.ms-office.chartstyle+xml"/>
  <Override PartName="/xl/charts/colors5.xml" ContentType="application/vnd.ms-office.chartcolorstyle+xml"/>
  <Override PartName="/xl/charts/style6.xml" ContentType="application/vnd.ms-office.chartstyle+xml"/>
  <Override PartName="/xl/charts/colors6.xml" ContentType="application/vnd.ms-office.chartcolorstyle+xml"/>
  <Override PartName="/xl/charts/style7.xml" ContentType="application/vnd.ms-office.chartstyle+xml"/>
  <Override PartName="/xl/charts/style5.xml" ContentType="application/vnd.ms-office.chartstyle+xml"/>
  <Override PartName="/xl/charts/chart10.xml" ContentType="application/vnd.openxmlformats-officedocument.drawingml.chart+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Weekly Entry" sheetId="2" state="visible" r:id="rId4"/>
    <sheet name="12-Week Trend" sheetId="3" state="visible" r:id="rId5"/>
    <sheet name="How to Use"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Hello Studio</author>
  </authors>
  <commentList>
    <comment ref="D7" authorId="0">
      <text>
        <r>
          <rPr>
            <sz val="10"/>
            <rFont val="Arial"/>
            <family val="2"/>
          </rPr>
          <t xml:space="preserve">Intakes ÷ Inquiries. Healthy range: 50%+</t>
        </r>
      </text>
    </comment>
    <comment ref="G7" authorId="0">
      <text>
        <r>
          <rPr>
            <sz val="10"/>
            <rFont val="Arial"/>
            <family val="2"/>
          </rPr>
          <t xml:space="preserve">Booked hours ÷ Goal hours. Flag anything under 90%.</t>
        </r>
      </text>
    </comment>
    <comment ref="K7" authorId="0">
      <text>
        <r>
          <rPr>
            <sz val="10"/>
            <rFont val="Arial"/>
            <family val="2"/>
          </rPr>
          <t xml:space="preserve">Clinicians at/near full ÷ total clinicians. 80%+ is healthy.</t>
        </r>
      </text>
    </comment>
    <comment ref="N7" authorId="0">
      <text>
        <r>
          <rPr>
            <sz val="10"/>
            <rFont val="Arial"/>
            <family val="2"/>
          </rPr>
          <t xml:space="preserve">Notes completed on time ÷ total notes due. Aim for 90%+.</t>
        </r>
      </text>
    </comment>
  </commentList>
</comments>
</file>

<file path=xl/sharedStrings.xml><?xml version="1.0" encoding="utf-8"?>
<sst xmlns="http://schemas.openxmlformats.org/spreadsheetml/2006/main" count="101" uniqueCount="80">
  <si>
    <t xml:space="preserve">Weekly KPI Dashboard</t>
  </si>
  <si>
    <t xml:space="preserve">The six numbers every group practice owner needs</t>
  </si>
  <si>
    <t xml:space="preserve">from Hello Studio  ·  hellostudio.online</t>
  </si>
  <si>
    <t xml:space="preserve">NEW INQUIRIES</t>
  </si>
  <si>
    <t xml:space="preserve">INQUIRY → INTAKE</t>
  </si>
  <si>
    <t xml:space="preserve">% OF BOOKED-HOURS GOAL</t>
  </si>
  <si>
    <t xml:space="preserve">Trending up week-over-week</t>
  </si>
  <si>
    <t xml:space="preserve">Healthy: 50%+</t>
  </si>
  <si>
    <t xml:space="preserve">Healthy: 90%+</t>
  </si>
  <si>
    <t xml:space="preserve">REVENUE COLLECTED</t>
  </si>
  <si>
    <t xml:space="preserve">CASELOAD HEALTH</t>
  </si>
  <si>
    <t xml:space="preserve">NOTES COMPLETION</t>
  </si>
  <si>
    <t xml:space="preserve">Cash, not billed</t>
  </si>
  <si>
    <t xml:space="preserve">Healthy: 80%+ at full</t>
  </si>
  <si>
    <t xml:space="preserve">12-Week Trend</t>
  </si>
  <si>
    <t xml:space="preserve">Update inputs on the Weekly Entry tab. Everything here recalculates automatically.</t>
  </si>
  <si>
    <t xml:space="preserve">Weekly Entry</t>
  </si>
  <si>
    <t xml:space="preserve">Log once a week — about 15 minutes. Blue cells are inputs. Black cells calculate themselves.</t>
  </si>
  <si>
    <t xml:space="preserve">Week</t>
  </si>
  <si>
    <t xml:space="preserve">Inquiries → Intakes</t>
  </si>
  <si>
    <t xml:space="preserve">Booked Hours vs. Goal</t>
  </si>
  <si>
    <t xml:space="preserve">Revenue</t>
  </si>
  <si>
    <t xml:space="preserve">Caseload Health</t>
  </si>
  <si>
    <t xml:space="preserve">Notes Completion</t>
  </si>
  <si>
    <t xml:space="preserve">Week ending</t>
  </si>
  <si>
    <t xml:space="preserve">Inquiries</t>
  </si>
  <si>
    <t xml:space="preserve">Intakes</t>
  </si>
  <si>
    <t xml:space="preserve">Conversion %</t>
  </si>
  <si>
    <t xml:space="preserve">Booked hours</t>
  </si>
  <si>
    <t xml:space="preserve">Goal hours</t>
  </si>
  <si>
    <t xml:space="preserve">% of goal</t>
  </si>
  <si>
    <t xml:space="preserve">Revenue collected</t>
  </si>
  <si>
    <t xml:space="preserve">Clinicians at/near full</t>
  </si>
  <si>
    <t xml:space="preserve">Clinicians under</t>
  </si>
  <si>
    <t xml:space="preserve">% healthy</t>
  </si>
  <si>
    <t xml:space="preserve">Notes on time</t>
  </si>
  <si>
    <t xml:space="preserve">Total notes due</t>
  </si>
  <si>
    <t xml:space="preserve">Completion %</t>
  </si>
  <si>
    <t xml:space="preserve">12-week average</t>
  </si>
  <si>
    <t xml:space="preserve">Visual snapshot of where each KPI is trending. Update Weekly Entry; charts refresh automatically.</t>
  </si>
  <si>
    <t xml:space="preserve">% of booked-hours goal</t>
  </si>
  <si>
    <t xml:space="preserve">% clinicians healthy</t>
  </si>
  <si>
    <t xml:space="preserve">Notes completion %</t>
  </si>
  <si>
    <t xml:space="preserve">How to Use This Sheet</t>
  </si>
  <si>
    <t xml:space="preserve">The weekly dashboard every group practice owner needs.</t>
  </si>
  <si>
    <t xml:space="preserve">The idea</t>
  </si>
  <si>
    <t xml:space="preserve">Most group practice owners either track nothing — or track so much they stop looking. This dashboard is the middle path: six numbers, logged once a week, that tell you whether your practice is actually healthy.</t>
  </si>
  <si>
    <t xml:space="preserve">Set aside 15 minutes at the end of each week. Pull your numbers from your EHR, your bookkeeping, and your team. Fill in the BLUE cells on the Weekly Entry tab. The BLACK cells (percentages, averages, trends) calculate themselves.</t>
  </si>
  <si>
    <t xml:space="preserve">After four weeks you'll start seeing patterns. After twelve, you'll have something powerful: data you trust, for decisions you've been putting off.</t>
  </si>
  <si>
    <t xml:space="preserve">The six KPIs</t>
  </si>
  <si>
    <t xml:space="preserve">1. New client inquiries</t>
  </si>
  <si>
    <t xml:space="preserve">What it is</t>
  </si>
  <si>
    <t xml:space="preserve">Every first-touch contact from a prospective client — phone, form, email, referral, whatever.</t>
  </si>
  <si>
    <t xml:space="preserve">Why it matters</t>
  </si>
  <si>
    <t xml:space="preserve">This is your top-of-funnel reality check. A dip here shows up weeks later as a caseload problem. Spot it early.</t>
  </si>
  <si>
    <t xml:space="preserve">Benchmarks</t>
  </si>
  <si>
    <t xml:space="preserve">Green: trending flat or up week-over-week.  ·  Yellow: two weeks of decline.  ·  Red: three+ weeks of decline — time to look at marketing, referral partners, and SEO.</t>
  </si>
  <si>
    <t xml:space="preserve">2. Inquiry → intake conversion %</t>
  </si>
  <si>
    <t xml:space="preserve">Intakes this week ÷ inquiries this week. Some of this week's intakes came from last week's inquiries — that's fine. You're tracking the ratio over time, not matching individual people.</t>
  </si>
  <si>
    <t xml:space="preserve">Inquiries don't pay rent. Intakes do. A low conversion rate means something is leaking in your response process — speed, pricing, fit, or follow-up.</t>
  </si>
  <si>
    <t xml:space="preserve">Green: 50%+  ·  Yellow: 35–50%  ·  Red: under 35% — look at response time, admin process, and how your clinicians convert the consult call.</t>
  </si>
  <si>
    <t xml:space="preserve">3. Booked hours vs. productivity goal</t>
  </si>
  <si>
    <t xml:space="preserve">Total booked clinical hours across the team ÷ your weekly productivity goal (e.g., 6 clinicians × 25 hours = 150).</t>
  </si>
  <si>
    <t xml:space="preserve">This is the number that connects caseload to revenue. Booked hours lag when you're underscheduling, not filling cancellations, or carrying clinicians who aren't ramping.</t>
  </si>
  <si>
    <t xml:space="preserve">Green: 90%+  ·  Yellow: 75–90%  ·  Red: under 75% — something structural is off (intake flow, caseload distribution, or clinician capacity).</t>
  </si>
  <si>
    <t xml:space="preserve">4. Weekly revenue collected</t>
  </si>
  <si>
    <t xml:space="preserve">Cash actually collected this week — not billed, not invoiced. Collected.</t>
  </si>
  <si>
    <t xml:space="preserve">Billed revenue is optimism. Collected revenue is reality. Watching this weekly catches insurance lag, billing errors, and cash-flow surprises before they become crises.</t>
  </si>
  <si>
    <t xml:space="preserve">Set your own floor based on payroll + overhead. If weekly collections fall below that floor for two weeks in a row, pull up your A/R aging.</t>
  </si>
  <si>
    <t xml:space="preserve">5. Clinician caseload health</t>
  </si>
  <si>
    <t xml:space="preserve">% of clinicians at or near full caseload vs. under caseload. You define 'full' — it's usually 22–28 weekly client hours depending on your model.</t>
  </si>
  <si>
    <t xml:space="preserve">Averages lie. One full clinician and one empty clinician averages to 'fine' — but you've got a burnout risk AND an underutilized hire. This metric keeps both visible.</t>
  </si>
  <si>
    <t xml:space="preserve">Green: 80%+ healthy  ·  Yellow: 60–80%  ·  Red: under 60% — you have a caseload distribution problem, not a volume problem.</t>
  </si>
  <si>
    <t xml:space="preserve">6. Notes completion %</t>
  </si>
  <si>
    <t xml:space="preserve">Notes completed on time this week ÷ total notes due this week. 'On time' = whatever your policy says (often within 24–48 hours).</t>
  </si>
  <si>
    <t xml:space="preserve">Late notes are the canary in the coal mine for clinician overwhelm, documentation drag, and billing delays. It's also a compliance issue waiting to happen.</t>
  </si>
  <si>
    <t xml:space="preserve">Green: 90%+  ·  Yellow: 75–90%  ·  Red: under 75% — have a conversation with your team this week, not next month.</t>
  </si>
  <si>
    <t xml:space="preserve">A closing note</t>
  </si>
  <si>
    <t xml:space="preserve">The goal isn't perfection — it's rhythm. Fifteen minutes, once a week, every week. The practice owners I've seen thrive aren't the ones with the fanciest dashboards. They're the ones who actually look at the numbers before the numbers become a problem.</t>
  </si>
  <si>
    <t xml:space="preserve">— Bailey</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</si>
</sst>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mmm\ d&quot;, &quot;yyyy"/>
    <numFmt numFmtId="169" formatCode="0.0%;\-0.0%;\-"/>
    <numFmt numFmtId="170" formatCode="\$#,##0;&quot;($&quot;#,##0\);\-"/>
    <numFmt numFmtId="171" formatCode="0.0"/>
    <numFmt numFmtId="172" formatCode="mmm\ d"/>
  </numFmts>
  <fonts count="30">
    <font>
      <sz val="11"/>
      <color theme="1"/>
      <name val="Calibri"/>
      <family val="2"/>
      <charset val="1"/>
    </font>
    <font>
      <sz val="10"/>
      <name val="Arial"/>
      <family val="0"/>
    </font>
    <font>
      <sz val="10"/>
      <name val="Arial"/>
      <family val="0"/>
    </font>
    <font>
      <sz val="10"/>
      <name val="Arial"/>
      <family val="0"/>
    </font>
    <font>
      <b val="true"/>
      <sz val="26"/>
      <color rgb="FF1E6256"/>
      <name val="Arial"/>
      <family val="0"/>
      <charset val="1"/>
    </font>
    <font>
      <i val="true"/>
      <sz val="12"/>
      <color rgb="FF2E7A6E"/>
      <name val="Arial"/>
      <family val="0"/>
      <charset val="1"/>
    </font>
    <font>
      <sz val="9"/>
      <color rgb="FF8A8A8A"/>
      <name val="Arial"/>
      <family val="0"/>
      <charset val="1"/>
    </font>
    <font>
      <b val="true"/>
      <sz val="14"/>
      <color rgb="FF164A42"/>
      <name val="Arial"/>
      <family val="0"/>
      <charset val="1"/>
    </font>
    <font>
      <b val="true"/>
      <sz val="9"/>
      <color rgb="FF2E7A6E"/>
      <name val="Arial"/>
      <family val="0"/>
      <charset val="1"/>
    </font>
    <font>
      <b val="true"/>
      <sz val="28"/>
      <color rgb="FF164A42"/>
      <name val="Arial"/>
      <family val="0"/>
      <charset val="1"/>
    </font>
    <font>
      <b val="true"/>
      <sz val="10"/>
      <color rgb="FF8A8A8A"/>
      <name val="Arial"/>
      <family val="0"/>
      <charset val="1"/>
    </font>
    <font>
      <i val="true"/>
      <sz val="9"/>
      <color rgb="FF8A8A8A"/>
      <name val="Arial"/>
      <family val="0"/>
      <charset val="1"/>
    </font>
    <font>
      <b val="true"/>
      <sz val="16"/>
      <color rgb="FF1E6256"/>
      <name val="Arial"/>
      <family val="0"/>
      <charset val="1"/>
    </font>
    <font>
      <b val="true"/>
      <sz val="18"/>
      <color rgb="FF000000"/>
      <name val="Calibri"/>
      <family val="2"/>
    </font>
    <font>
      <sz val="10"/>
      <color rgb="FF000000"/>
      <name val="Calibri"/>
      <family val="2"/>
    </font>
    <font>
      <b val="true"/>
      <sz val="20"/>
      <color rgb="FF1E6256"/>
      <name val="Arial"/>
      <family val="0"/>
      <charset val="1"/>
    </font>
    <font>
      <i val="true"/>
      <sz val="10"/>
      <color rgb="FF2E7A6E"/>
      <name val="Arial"/>
      <family val="0"/>
      <charset val="1"/>
    </font>
    <font>
      <b val="true"/>
      <sz val="11"/>
      <color rgb="FFFFFFFF"/>
      <name val="Arial"/>
      <family val="0"/>
      <charset val="1"/>
    </font>
    <font>
      <b val="true"/>
      <sz val="10"/>
      <color rgb="FF164A42"/>
      <name val="Arial"/>
      <family val="0"/>
      <charset val="1"/>
    </font>
    <font>
      <b val="true"/>
      <sz val="10"/>
      <color rgb="FF0000FF"/>
      <name val="Arial"/>
      <family val="0"/>
      <charset val="1"/>
    </font>
    <font>
      <sz val="10"/>
      <color rgb="FF0000FF"/>
      <name val="Arial"/>
      <family val="0"/>
      <charset val="1"/>
    </font>
    <font>
      <sz val="10"/>
      <color rgb="FF222222"/>
      <name val="Arial"/>
      <family val="0"/>
      <charset val="1"/>
    </font>
    <font>
      <b val="true"/>
      <sz val="10"/>
      <color rgb="FFFFFFFF"/>
      <name val="Arial"/>
      <family val="0"/>
      <charset val="1"/>
    </font>
    <font>
      <sz val="10"/>
      <name val="Arial"/>
      <family val="2"/>
    </font>
    <font>
      <b val="true"/>
      <sz val="22"/>
      <color rgb="FF1E6256"/>
      <name val="Arial"/>
      <family val="0"/>
      <charset val="1"/>
    </font>
    <font>
      <b val="true"/>
      <sz val="14"/>
      <color rgb="FF1E6256"/>
      <name val="Arial"/>
      <family val="0"/>
      <charset val="1"/>
    </font>
    <font>
      <sz val="11"/>
      <color rgb="FF222222"/>
      <name val="Arial"/>
      <family val="0"/>
      <charset val="1"/>
    </font>
    <font>
      <b val="true"/>
      <sz val="13"/>
      <color rgb="FF164A42"/>
      <name val="Arial"/>
      <family val="0"/>
      <charset val="1"/>
    </font>
    <font>
      <b val="true"/>
      <sz val="10"/>
      <color rgb="FFC99A2E"/>
      <name val="Arial"/>
      <family val="0"/>
      <charset val="1"/>
    </font>
    <font>
      <i val="true"/>
      <sz val="11"/>
      <color rgb="FF164A42"/>
      <name val="Arial"/>
      <family val="0"/>
      <charset val="1"/>
    </font>
  </fonts>
  <fills count="8">
    <fill>
      <patternFill patternType="none"/>
    </fill>
    <fill>
      <patternFill patternType="gray125"/>
    </fill>
    <fill>
      <patternFill patternType="solid">
        <fgColor rgb="FFFBF5E9"/>
        <bgColor rgb="FFFFFFFF"/>
      </patternFill>
    </fill>
    <fill>
      <patternFill patternType="solid">
        <fgColor rgb="FFE3B84D"/>
        <bgColor rgb="FFC99A2E"/>
      </patternFill>
    </fill>
    <fill>
      <patternFill patternType="solid">
        <fgColor rgb="FFFFFFFF"/>
        <bgColor rgb="FFFBF5E9"/>
      </patternFill>
    </fill>
    <fill>
      <patternFill patternType="solid">
        <fgColor rgb="FFF0D78A"/>
        <bgColor rgb="FFF3EAD3"/>
      </patternFill>
    </fill>
    <fill>
      <patternFill patternType="solid">
        <fgColor rgb="FF1E6256"/>
        <bgColor rgb="FF164A42"/>
      </patternFill>
    </fill>
    <fill>
      <patternFill patternType="solid">
        <fgColor rgb="FFF3EAD3"/>
        <bgColor rgb="FFFBF5E9"/>
      </patternFill>
    </fill>
  </fills>
  <borders count="3">
    <border diagonalUp="false" diagonalDown="false">
      <left/>
      <right/>
      <top/>
      <bottom/>
      <diagonal/>
    </border>
    <border diagonalUp="false" diagonalDown="false">
      <left/>
      <right/>
      <top/>
      <bottom style="thin">
        <color rgb="FFF3EAD3"/>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5" fontId="9" fillId="4" borderId="0" xfId="0" applyFont="true" applyBorder="true" applyAlignment="true" applyProtection="false">
      <alignment horizontal="center" vertical="center" textRotation="0" wrapText="false" indent="0" shrinkToFit="false"/>
      <protection locked="true" hidden="false"/>
    </xf>
    <xf numFmtId="166" fontId="9" fillId="4"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7" fontId="9" fillId="4" borderId="0"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center" vertical="center" textRotation="0" wrapText="false" indent="0" shrinkToFit="false"/>
      <protection locked="true" hidden="false"/>
    </xf>
    <xf numFmtId="164" fontId="17" fillId="6" borderId="0" xfId="0" applyFont="true" applyBorder="true" applyAlignment="true" applyProtection="false">
      <alignment horizontal="center" vertical="center" textRotation="0" wrapText="false" indent="0" shrinkToFit="false"/>
      <protection locked="true" hidden="false"/>
    </xf>
    <xf numFmtId="164" fontId="18" fillId="7" borderId="2" xfId="0" applyFont="true" applyBorder="true" applyAlignment="true" applyProtection="false">
      <alignment horizontal="center" vertical="center" textRotation="0" wrapText="true" indent="0" shrinkToFit="false"/>
      <protection locked="true" hidden="false"/>
    </xf>
    <xf numFmtId="168" fontId="19"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9" fontId="21" fillId="0" borderId="0" xfId="0" applyFont="true" applyBorder="false" applyAlignment="true" applyProtection="false">
      <alignment horizontal="center" vertical="bottom" textRotation="0" wrapText="false" indent="0" shrinkToFit="false"/>
      <protection locked="true" hidden="false"/>
    </xf>
    <xf numFmtId="170" fontId="20" fillId="0" borderId="0" xfId="0" applyFont="true" applyBorder="false" applyAlignment="true" applyProtection="false">
      <alignment horizontal="right" vertical="bottom" textRotation="0" wrapText="false" indent="0" shrinkToFit="false"/>
      <protection locked="true" hidden="false"/>
    </xf>
    <xf numFmtId="168" fontId="19" fillId="2" borderId="0" xfId="0" applyFont="true" applyBorder="false" applyAlignment="true" applyProtection="false">
      <alignment horizontal="center" vertical="bottom" textRotation="0" wrapText="false" indent="0" shrinkToFit="false"/>
      <protection locked="true" hidden="false"/>
    </xf>
    <xf numFmtId="164" fontId="20" fillId="2" borderId="0" xfId="0" applyFont="true" applyBorder="false" applyAlignment="true" applyProtection="false">
      <alignment horizontal="center" vertical="bottom" textRotation="0" wrapText="false" indent="0" shrinkToFit="false"/>
      <protection locked="true" hidden="false"/>
    </xf>
    <xf numFmtId="169" fontId="21" fillId="2" borderId="0" xfId="0" applyFont="true" applyBorder="false" applyAlignment="true" applyProtection="false">
      <alignment horizontal="center" vertical="bottom" textRotation="0" wrapText="false" indent="0" shrinkToFit="false"/>
      <protection locked="true" hidden="false"/>
    </xf>
    <xf numFmtId="170" fontId="20" fillId="2" borderId="0" xfId="0" applyFont="true" applyBorder="false" applyAlignment="true" applyProtection="false">
      <alignment horizontal="right" vertical="bottom" textRotation="0" wrapText="false" indent="0" shrinkToFit="false"/>
      <protection locked="true" hidden="false"/>
    </xf>
    <xf numFmtId="164" fontId="22" fillId="6" borderId="0" xfId="0" applyFont="true" applyBorder="false" applyAlignment="true" applyProtection="false">
      <alignment horizontal="center" vertical="bottom" textRotation="0" wrapText="false" indent="0" shrinkToFit="false"/>
      <protection locked="true" hidden="false"/>
    </xf>
    <xf numFmtId="171" fontId="22" fillId="6" borderId="0" xfId="0" applyFont="true" applyBorder="false" applyAlignment="true" applyProtection="false">
      <alignment horizontal="center" vertical="bottom" textRotation="0" wrapText="false" indent="0" shrinkToFit="false"/>
      <protection locked="true" hidden="false"/>
    </xf>
    <xf numFmtId="169" fontId="22" fillId="6" borderId="0" xfId="0" applyFont="true" applyBorder="false" applyAlignment="true" applyProtection="false">
      <alignment horizontal="center" vertical="bottom" textRotation="0" wrapText="false" indent="0" shrinkToFit="false"/>
      <protection locked="true" hidden="false"/>
    </xf>
    <xf numFmtId="170" fontId="22" fillId="6"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22" fillId="6" borderId="0" xfId="0" applyFont="true" applyBorder="false" applyAlignment="true" applyProtection="false">
      <alignment horizontal="center" vertical="center" textRotation="0" wrapText="true" indent="0" shrinkToFit="false"/>
      <protection locked="true" hidden="false"/>
    </xf>
    <xf numFmtId="172" fontId="21"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70" fontId="21" fillId="0" borderId="0" xfId="0" applyFont="true" applyBorder="false" applyAlignment="true" applyProtection="false">
      <alignment horizontal="right" vertical="bottom" textRotation="0" wrapText="false" indent="0" shrinkToFit="false"/>
      <protection locked="true" hidden="false"/>
    </xf>
    <xf numFmtId="172" fontId="21" fillId="2" borderId="0" xfId="0" applyFont="true" applyBorder="false" applyAlignment="true" applyProtection="false">
      <alignment horizontal="center" vertical="bottom" textRotation="0" wrapText="false" indent="0" shrinkToFit="false"/>
      <protection locked="true" hidden="false"/>
    </xf>
    <xf numFmtId="164" fontId="21" fillId="2" borderId="0" xfId="0" applyFont="true" applyBorder="false" applyAlignment="true" applyProtection="false">
      <alignment horizontal="center" vertical="bottom" textRotation="0" wrapText="false" indent="0" shrinkToFit="false"/>
      <protection locked="true" hidden="false"/>
    </xf>
    <xf numFmtId="170" fontId="21" fillId="2" borderId="0" xfId="0" applyFont="true" applyBorder="false" applyAlignment="true" applyProtection="false">
      <alignment horizontal="right"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left"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6256"/>
      <rgbColor rgb="FFCCCCCC"/>
      <rgbColor rgb="FF878787"/>
      <rgbColor rgb="FF9999FF"/>
      <rgbColor rgb="FF993366"/>
      <rgbColor rgb="FFFBF5E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3EAD3"/>
      <rgbColor rgb="FF99CCFF"/>
      <rgbColor rgb="FFFF99CC"/>
      <rgbColor rgb="FFCC99FF"/>
      <rgbColor rgb="FFF0D78A"/>
      <rgbColor rgb="FF3366FF"/>
      <rgbColor rgb="FF33CCCC"/>
      <rgbColor rgb="FF99CC00"/>
      <rgbColor rgb="FFE3B84D"/>
      <rgbColor rgb="FFC99A2E"/>
      <rgbColor rgb="FFFF6600"/>
      <rgbColor rgb="FF666699"/>
      <rgbColor rgb="FF8A8A8A"/>
      <rgbColor rgb="FF164A42"/>
      <rgbColor rgb="FF2E7A6E"/>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New inquiries</a:t>
            </a:r>
          </a:p>
        </c:rich>
      </c:tx>
      <c:overlay val="0"/>
      <c:spPr>
        <a:noFill/>
        <a:ln w="0">
          <a:noFill/>
        </a:ln>
      </c:spPr>
    </c:title>
    <c:autoTitleDeleted val="0"/>
    <c:plotArea>
      <c:lineChart>
        <c:grouping val="standard"/>
        <c:varyColors val="0"/>
        <c:ser>
          <c:idx val="0"/>
          <c:order val="0"/>
          <c:tx>
            <c:strRef>
              <c:f>'12-Week Trend'!B4</c:f>
              <c:strCache>
                <c:ptCount val="1"/>
                <c:pt idx="0">
                  <c:v>Inquiries</c:v>
                </c:pt>
              </c:strCache>
            </c:strRef>
          </c:tx>
          <c:spPr>
            <a:solidFill>
              <a:srgbClr val="1E6256"/>
            </a:solidFill>
            <a:ln w="21960">
              <a:solidFill>
                <a:srgbClr val="1E625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Trend'!$B$5:$B$16</c:f>
              <c:numCache>
                <c:formatCode>General</c:formatCode>
                <c:ptCount val="12"/>
                <c:pt idx="0">
                  <c:v>8</c:v>
                </c:pt>
                <c:pt idx="1">
                  <c:v>10</c:v>
                </c:pt>
                <c:pt idx="2">
                  <c:v>12</c:v>
                </c:pt>
                <c:pt idx="3">
                  <c:v>9</c:v>
                </c:pt>
                <c:pt idx="4">
                  <c:v>14</c:v>
                </c:pt>
                <c:pt idx="5">
                  <c:v>11</c:v>
                </c:pt>
                <c:pt idx="6">
                  <c:v>13</c:v>
                </c:pt>
                <c:pt idx="7">
                  <c:v>15</c:v>
                </c:pt>
                <c:pt idx="8">
                  <c:v>12</c:v>
                </c:pt>
                <c:pt idx="9">
                  <c:v>10</c:v>
                </c:pt>
                <c:pt idx="10">
                  <c:v>14</c:v>
                </c:pt>
                <c:pt idx="11">
                  <c:v>13</c:v>
                </c:pt>
              </c:numCache>
            </c:numRef>
          </c:val>
          <c:smooth val="1"/>
        </c:ser>
        <c:hiLowLines>
          <c:spPr>
            <a:ln w="0">
              <a:noFill/>
            </a:ln>
          </c:spPr>
        </c:hiLowLines>
        <c:marker val="0"/>
        <c:axId val="33414938"/>
        <c:axId val="54684006"/>
      </c:lineChart>
      <c:catAx>
        <c:axId val="33414938"/>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684006"/>
        <c:crosses val="autoZero"/>
        <c:auto val="1"/>
        <c:lblAlgn val="ctr"/>
        <c:lblOffset val="100"/>
        <c:noMultiLvlLbl val="0"/>
      </c:catAx>
      <c:valAx>
        <c:axId val="5468400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414938"/>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Revenue collected</a:t>
            </a:r>
          </a:p>
        </c:rich>
      </c:tx>
      <c:overlay val="0"/>
      <c:spPr>
        <a:noFill/>
        <a:ln w="0">
          <a:noFill/>
        </a:ln>
      </c:spPr>
    </c:title>
    <c:autoTitleDeleted val="0"/>
    <c:plotArea>
      <c:lineChart>
        <c:grouping val="standard"/>
        <c:varyColors val="0"/>
        <c:ser>
          <c:idx val="0"/>
          <c:order val="0"/>
          <c:tx>
            <c:strRef>
              <c:f>'12-Week Trend'!E4</c:f>
              <c:strCache>
                <c:ptCount val="1"/>
                <c:pt idx="0">
                  <c:v>Revenue</c:v>
                </c:pt>
              </c:strCache>
            </c:strRef>
          </c:tx>
          <c:spPr>
            <a:solidFill>
              <a:srgbClr val="C99A2E"/>
            </a:solidFill>
            <a:ln w="21960">
              <a:solidFill>
                <a:srgbClr val="C99A2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Trend'!$E$5:$E$16</c:f>
              <c:numCache>
                <c:formatCode>\$#,##0;"($"#,##0\);\-</c:formatCode>
                <c:ptCount val="12"/>
                <c:pt idx="0">
                  <c:v>14160</c:v>
                </c:pt>
                <c:pt idx="1">
                  <c:v>14880</c:v>
                </c:pt>
                <c:pt idx="2">
                  <c:v>15840</c:v>
                </c:pt>
                <c:pt idx="3">
                  <c:v>15360</c:v>
                </c:pt>
                <c:pt idx="4">
                  <c:v>16560</c:v>
                </c:pt>
                <c:pt idx="5">
                  <c:v>16200</c:v>
                </c:pt>
                <c:pt idx="6">
                  <c:v>16800</c:v>
                </c:pt>
                <c:pt idx="7">
                  <c:v>17280</c:v>
                </c:pt>
                <c:pt idx="8">
                  <c:v>17040</c:v>
                </c:pt>
                <c:pt idx="9">
                  <c:v>16560</c:v>
                </c:pt>
                <c:pt idx="10">
                  <c:v>17400</c:v>
                </c:pt>
                <c:pt idx="11">
                  <c:v>17640</c:v>
                </c:pt>
              </c:numCache>
            </c:numRef>
          </c:val>
          <c:smooth val="1"/>
        </c:ser>
        <c:hiLowLines>
          <c:spPr>
            <a:ln w="0">
              <a:noFill/>
            </a:ln>
          </c:spPr>
        </c:hiLowLines>
        <c:marker val="0"/>
        <c:axId val="40682367"/>
        <c:axId val="55037322"/>
      </c:lineChart>
      <c:catAx>
        <c:axId val="40682367"/>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5037322"/>
        <c:crosses val="autoZero"/>
        <c:auto val="1"/>
        <c:lblAlgn val="ctr"/>
        <c:lblOffset val="100"/>
        <c:noMultiLvlLbl val="0"/>
      </c:catAx>
      <c:valAx>
        <c:axId val="55037322"/>
        <c:scaling>
          <c:orientation val="minMax"/>
        </c:scaling>
        <c:delete val="0"/>
        <c:axPos val="l"/>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068236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Conversion %</a:t>
            </a:r>
          </a:p>
        </c:rich>
      </c:tx>
      <c:overlay val="0"/>
      <c:spPr>
        <a:noFill/>
        <a:ln w="0">
          <a:noFill/>
        </a:ln>
      </c:spPr>
    </c:title>
    <c:autoTitleDeleted val="0"/>
    <c:plotArea>
      <c:lineChart>
        <c:grouping val="standard"/>
        <c:varyColors val="0"/>
        <c:ser>
          <c:idx val="0"/>
          <c:order val="0"/>
          <c:tx>
            <c:strRef>
              <c:f>'12-Week Trend'!C4</c:f>
              <c:strCache>
                <c:ptCount val="1"/>
                <c:pt idx="0">
                  <c:v>Conversion %</c:v>
                </c:pt>
              </c:strCache>
            </c:strRef>
          </c:tx>
          <c:spPr>
            <a:solidFill>
              <a:srgbClr val="2E7A6E"/>
            </a:solidFill>
            <a:ln w="21960">
              <a:solidFill>
                <a:srgbClr val="2E7A6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Trend'!$C$5:$C$16</c:f>
              <c:numCache>
                <c:formatCode>0.0%;\-0.0%;\-</c:formatCode>
                <c:ptCount val="12"/>
                <c:pt idx="0">
                  <c:v>0.5</c:v>
                </c:pt>
                <c:pt idx="1">
                  <c:v>0.6</c:v>
                </c:pt>
                <c:pt idx="2">
                  <c:v>0.583333333333333</c:v>
                </c:pt>
                <c:pt idx="3">
                  <c:v>0.555555555555556</c:v>
                </c:pt>
                <c:pt idx="4">
                  <c:v>0.642857142857143</c:v>
                </c:pt>
                <c:pt idx="5">
                  <c:v>0.727272727272727</c:v>
                </c:pt>
                <c:pt idx="6">
                  <c:v>0.692307692307692</c:v>
                </c:pt>
                <c:pt idx="7">
                  <c:v>0.733333333333333</c:v>
                </c:pt>
                <c:pt idx="8">
                  <c:v>0.75</c:v>
                </c:pt>
                <c:pt idx="9">
                  <c:v>0.7</c:v>
                </c:pt>
                <c:pt idx="10">
                  <c:v>0.714285714285714</c:v>
                </c:pt>
                <c:pt idx="11">
                  <c:v>0.769230769230769</c:v>
                </c:pt>
              </c:numCache>
            </c:numRef>
          </c:val>
          <c:smooth val="1"/>
        </c:ser>
        <c:hiLowLines>
          <c:spPr>
            <a:ln w="0">
              <a:noFill/>
            </a:ln>
          </c:spPr>
        </c:hiLowLines>
        <c:marker val="0"/>
        <c:axId val="80686781"/>
        <c:axId val="38544027"/>
      </c:lineChart>
      <c:catAx>
        <c:axId val="80686781"/>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8544027"/>
        <c:crosses val="autoZero"/>
        <c:auto val="1"/>
        <c:lblAlgn val="ctr"/>
        <c:lblOffset val="100"/>
        <c:noMultiLvlLbl val="0"/>
      </c:catAx>
      <c:valAx>
        <c:axId val="38544027"/>
        <c:scaling>
          <c:orientation val="minMax"/>
        </c:scaling>
        <c:delete val="0"/>
        <c:axPos val="l"/>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686781"/>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 of goal</a:t>
            </a:r>
          </a:p>
        </c:rich>
      </c:tx>
      <c:overlay val="0"/>
      <c:spPr>
        <a:noFill/>
        <a:ln w="0">
          <a:noFill/>
        </a:ln>
      </c:spPr>
    </c:title>
    <c:autoTitleDeleted val="0"/>
    <c:plotArea>
      <c:lineChart>
        <c:grouping val="standard"/>
        <c:varyColors val="0"/>
        <c:ser>
          <c:idx val="0"/>
          <c:order val="0"/>
          <c:tx>
            <c:strRef>
              <c:f>'12-Week Trend'!D4</c:f>
              <c:strCache>
                <c:ptCount val="1"/>
                <c:pt idx="0">
                  <c:v>% of booked-hours goal</c:v>
                </c:pt>
              </c:strCache>
            </c:strRef>
          </c:tx>
          <c:spPr>
            <a:solidFill>
              <a:srgbClr val="2E7A6E"/>
            </a:solidFill>
            <a:ln w="21960">
              <a:solidFill>
                <a:srgbClr val="2E7A6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Trend'!$D$5:$D$16</c:f>
              <c:numCache>
                <c:formatCode>0.0%;\-0.0%;\-</c:formatCode>
                <c:ptCount val="12"/>
                <c:pt idx="0">
                  <c:v>0.786666666666667</c:v>
                </c:pt>
                <c:pt idx="1">
                  <c:v>0.826666666666667</c:v>
                </c:pt>
                <c:pt idx="2">
                  <c:v>0.88</c:v>
                </c:pt>
                <c:pt idx="3">
                  <c:v>0.853333333333333</c:v>
                </c:pt>
                <c:pt idx="4">
                  <c:v>0.92</c:v>
                </c:pt>
                <c:pt idx="5">
                  <c:v>0.9</c:v>
                </c:pt>
                <c:pt idx="6">
                  <c:v>0.933333333333333</c:v>
                </c:pt>
                <c:pt idx="7">
                  <c:v>0.96</c:v>
                </c:pt>
                <c:pt idx="8">
                  <c:v>0.946666666666667</c:v>
                </c:pt>
                <c:pt idx="9">
                  <c:v>0.92</c:v>
                </c:pt>
                <c:pt idx="10">
                  <c:v>0.966666666666667</c:v>
                </c:pt>
                <c:pt idx="11">
                  <c:v>0.98</c:v>
                </c:pt>
              </c:numCache>
            </c:numRef>
          </c:val>
          <c:smooth val="1"/>
        </c:ser>
        <c:hiLowLines>
          <c:spPr>
            <a:ln w="0">
              <a:noFill/>
            </a:ln>
          </c:spPr>
        </c:hiLowLines>
        <c:marker val="0"/>
        <c:axId val="93663063"/>
        <c:axId val="33983060"/>
      </c:lineChart>
      <c:catAx>
        <c:axId val="93663063"/>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83060"/>
        <c:crosses val="autoZero"/>
        <c:auto val="1"/>
        <c:lblAlgn val="ctr"/>
        <c:lblOffset val="100"/>
        <c:noMultiLvlLbl val="0"/>
      </c:catAx>
      <c:valAx>
        <c:axId val="33983060"/>
        <c:scaling>
          <c:orientation val="minMax"/>
        </c:scaling>
        <c:delete val="0"/>
        <c:axPos val="l"/>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366306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Caseload health</a:t>
            </a:r>
          </a:p>
        </c:rich>
      </c:tx>
      <c:overlay val="0"/>
      <c:spPr>
        <a:noFill/>
        <a:ln w="0">
          <a:noFill/>
        </a:ln>
      </c:spPr>
    </c:title>
    <c:autoTitleDeleted val="0"/>
    <c:plotArea>
      <c:lineChart>
        <c:grouping val="standard"/>
        <c:varyColors val="0"/>
        <c:ser>
          <c:idx val="0"/>
          <c:order val="0"/>
          <c:tx>
            <c:strRef>
              <c:f>'12-Week Trend'!F4</c:f>
              <c:strCache>
                <c:ptCount val="1"/>
                <c:pt idx="0">
                  <c:v>% clinicians healthy</c:v>
                </c:pt>
              </c:strCache>
            </c:strRef>
          </c:tx>
          <c:spPr>
            <a:solidFill>
              <a:srgbClr val="2E7A6E"/>
            </a:solidFill>
            <a:ln w="21960">
              <a:solidFill>
                <a:srgbClr val="2E7A6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Trend'!$F$5:$F$16</c:f>
              <c:numCache>
                <c:formatCode>0.0%;\-0.0%;\-</c:formatCode>
                <c:ptCount val="12"/>
                <c:pt idx="0">
                  <c:v>0.5</c:v>
                </c:pt>
                <c:pt idx="1">
                  <c:v>0.666666666666667</c:v>
                </c:pt>
                <c:pt idx="2">
                  <c:v>0.666666666666667</c:v>
                </c:pt>
                <c:pt idx="3">
                  <c:v>0.666666666666667</c:v>
                </c:pt>
                <c:pt idx="4">
                  <c:v>0.833333333333333</c:v>
                </c:pt>
                <c:pt idx="5">
                  <c:v>0.833333333333333</c:v>
                </c:pt>
                <c:pt idx="6">
                  <c:v>0.833333333333333</c:v>
                </c:pt>
                <c:pt idx="7">
                  <c:v>0.833333333333333</c:v>
                </c:pt>
                <c:pt idx="8">
                  <c:v>0.833333333333333</c:v>
                </c:pt>
                <c:pt idx="9">
                  <c:v>0.833333333333333</c:v>
                </c:pt>
                <c:pt idx="10">
                  <c:v>1</c:v>
                </c:pt>
                <c:pt idx="11">
                  <c:v>1</c:v>
                </c:pt>
              </c:numCache>
            </c:numRef>
          </c:val>
          <c:smooth val="1"/>
        </c:ser>
        <c:hiLowLines>
          <c:spPr>
            <a:ln w="0">
              <a:noFill/>
            </a:ln>
          </c:spPr>
        </c:hiLowLines>
        <c:marker val="0"/>
        <c:axId val="86564881"/>
        <c:axId val="70456494"/>
      </c:lineChart>
      <c:catAx>
        <c:axId val="86564881"/>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456494"/>
        <c:crosses val="autoZero"/>
        <c:auto val="1"/>
        <c:lblAlgn val="ctr"/>
        <c:lblOffset val="100"/>
        <c:noMultiLvlLbl val="0"/>
      </c:catAx>
      <c:valAx>
        <c:axId val="70456494"/>
        <c:scaling>
          <c:orientation val="minMax"/>
        </c:scaling>
        <c:delete val="0"/>
        <c:axPos val="l"/>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564881"/>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New inquiries</a:t>
            </a:r>
          </a:p>
        </c:rich>
      </c:tx>
      <c:overlay val="0"/>
      <c:spPr>
        <a:noFill/>
        <a:ln w="0">
          <a:noFill/>
        </a:ln>
      </c:spPr>
    </c:title>
    <c:autoTitleDeleted val="0"/>
    <c:plotArea>
      <c:lineChart>
        <c:grouping val="standard"/>
        <c:varyColors val="0"/>
        <c:ser>
          <c:idx val="0"/>
          <c:order val="0"/>
          <c:tx>
            <c:strRef>
              <c:f>'12-Week Trend'!B4</c:f>
              <c:strCache>
                <c:ptCount val="1"/>
                <c:pt idx="0">
                  <c:v>Inquiries</c:v>
                </c:pt>
              </c:strCache>
            </c:strRef>
          </c:tx>
          <c:spPr>
            <a:solidFill>
              <a:srgbClr val="1E6256"/>
            </a:solidFill>
            <a:ln w="21960">
              <a:solidFill>
                <a:srgbClr val="1E625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Trend'!$B$5:$B$16</c:f>
              <c:numCache>
                <c:formatCode>General</c:formatCode>
                <c:ptCount val="12"/>
                <c:pt idx="0">
                  <c:v>8</c:v>
                </c:pt>
                <c:pt idx="1">
                  <c:v>10</c:v>
                </c:pt>
                <c:pt idx="2">
                  <c:v>12</c:v>
                </c:pt>
                <c:pt idx="3">
                  <c:v>9</c:v>
                </c:pt>
                <c:pt idx="4">
                  <c:v>14</c:v>
                </c:pt>
                <c:pt idx="5">
                  <c:v>11</c:v>
                </c:pt>
                <c:pt idx="6">
                  <c:v>13</c:v>
                </c:pt>
                <c:pt idx="7">
                  <c:v>15</c:v>
                </c:pt>
                <c:pt idx="8">
                  <c:v>12</c:v>
                </c:pt>
                <c:pt idx="9">
                  <c:v>10</c:v>
                </c:pt>
                <c:pt idx="10">
                  <c:v>14</c:v>
                </c:pt>
                <c:pt idx="11">
                  <c:v>13</c:v>
                </c:pt>
              </c:numCache>
            </c:numRef>
          </c:val>
          <c:smooth val="1"/>
        </c:ser>
        <c:hiLowLines>
          <c:spPr>
            <a:ln w="0">
              <a:noFill/>
            </a:ln>
          </c:spPr>
        </c:hiLowLines>
        <c:marker val="0"/>
        <c:axId val="51644960"/>
        <c:axId val="59552569"/>
      </c:lineChart>
      <c:catAx>
        <c:axId val="51644960"/>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552569"/>
        <c:crosses val="autoZero"/>
        <c:auto val="1"/>
        <c:lblAlgn val="ctr"/>
        <c:lblOffset val="100"/>
        <c:noMultiLvlLbl val="0"/>
      </c:catAx>
      <c:valAx>
        <c:axId val="5955256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164496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Inquiry → Intake conversion</a:t>
            </a:r>
          </a:p>
        </c:rich>
      </c:tx>
      <c:overlay val="0"/>
      <c:spPr>
        <a:noFill/>
        <a:ln w="0">
          <a:noFill/>
        </a:ln>
      </c:spPr>
    </c:title>
    <c:autoTitleDeleted val="0"/>
    <c:plotArea>
      <c:lineChart>
        <c:grouping val="standard"/>
        <c:varyColors val="0"/>
        <c:ser>
          <c:idx val="0"/>
          <c:order val="0"/>
          <c:tx>
            <c:strRef>
              <c:f>'12-Week Trend'!C4</c:f>
              <c:strCache>
                <c:ptCount val="1"/>
                <c:pt idx="0">
                  <c:v>Conversion %</c:v>
                </c:pt>
              </c:strCache>
            </c:strRef>
          </c:tx>
          <c:spPr>
            <a:solidFill>
              <a:srgbClr val="1E6256"/>
            </a:solidFill>
            <a:ln w="21960">
              <a:solidFill>
                <a:srgbClr val="1E625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Trend'!$C$5:$C$16</c:f>
              <c:numCache>
                <c:formatCode>0.0%;\-0.0%;\-</c:formatCode>
                <c:ptCount val="12"/>
                <c:pt idx="0">
                  <c:v>0.5</c:v>
                </c:pt>
                <c:pt idx="1">
                  <c:v>0.6</c:v>
                </c:pt>
                <c:pt idx="2">
                  <c:v>0.583333333333333</c:v>
                </c:pt>
                <c:pt idx="3">
                  <c:v>0.555555555555556</c:v>
                </c:pt>
                <c:pt idx="4">
                  <c:v>0.642857142857143</c:v>
                </c:pt>
                <c:pt idx="5">
                  <c:v>0.727272727272727</c:v>
                </c:pt>
                <c:pt idx="6">
                  <c:v>0.692307692307692</c:v>
                </c:pt>
                <c:pt idx="7">
                  <c:v>0.733333333333333</c:v>
                </c:pt>
                <c:pt idx="8">
                  <c:v>0.75</c:v>
                </c:pt>
                <c:pt idx="9">
                  <c:v>0.7</c:v>
                </c:pt>
                <c:pt idx="10">
                  <c:v>0.714285714285714</c:v>
                </c:pt>
                <c:pt idx="11">
                  <c:v>0.769230769230769</c:v>
                </c:pt>
              </c:numCache>
            </c:numRef>
          </c:val>
          <c:smooth val="1"/>
        </c:ser>
        <c:hiLowLines>
          <c:spPr>
            <a:ln w="0">
              <a:noFill/>
            </a:ln>
          </c:spPr>
        </c:hiLowLines>
        <c:marker val="0"/>
        <c:axId val="84147867"/>
        <c:axId val="17103268"/>
      </c:lineChart>
      <c:catAx>
        <c:axId val="84147867"/>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103268"/>
        <c:crosses val="autoZero"/>
        <c:auto val="1"/>
        <c:lblAlgn val="ctr"/>
        <c:lblOffset val="100"/>
        <c:noMultiLvlLbl val="0"/>
      </c:catAx>
      <c:valAx>
        <c:axId val="17103268"/>
        <c:scaling>
          <c:orientation val="minMax"/>
        </c:scaling>
        <c:delete val="0"/>
        <c:axPos val="l"/>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14786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 of booked-hours goal</a:t>
            </a:r>
          </a:p>
        </c:rich>
      </c:tx>
      <c:overlay val="0"/>
      <c:spPr>
        <a:noFill/>
        <a:ln w="0">
          <a:noFill/>
        </a:ln>
      </c:spPr>
    </c:title>
    <c:autoTitleDeleted val="0"/>
    <c:plotArea>
      <c:lineChart>
        <c:grouping val="standard"/>
        <c:varyColors val="0"/>
        <c:ser>
          <c:idx val="0"/>
          <c:order val="0"/>
          <c:tx>
            <c:strRef>
              <c:f>'12-Week Trend'!D4</c:f>
              <c:strCache>
                <c:ptCount val="1"/>
                <c:pt idx="0">
                  <c:v>% of booked-hours goal</c:v>
                </c:pt>
              </c:strCache>
            </c:strRef>
          </c:tx>
          <c:spPr>
            <a:solidFill>
              <a:srgbClr val="1E6256"/>
            </a:solidFill>
            <a:ln w="21960">
              <a:solidFill>
                <a:srgbClr val="1E625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Trend'!$D$5:$D$16</c:f>
              <c:numCache>
                <c:formatCode>0.0%;\-0.0%;\-</c:formatCode>
                <c:ptCount val="12"/>
                <c:pt idx="0">
                  <c:v>0.786666666666667</c:v>
                </c:pt>
                <c:pt idx="1">
                  <c:v>0.826666666666667</c:v>
                </c:pt>
                <c:pt idx="2">
                  <c:v>0.88</c:v>
                </c:pt>
                <c:pt idx="3">
                  <c:v>0.853333333333333</c:v>
                </c:pt>
                <c:pt idx="4">
                  <c:v>0.92</c:v>
                </c:pt>
                <c:pt idx="5">
                  <c:v>0.9</c:v>
                </c:pt>
                <c:pt idx="6">
                  <c:v>0.933333333333333</c:v>
                </c:pt>
                <c:pt idx="7">
                  <c:v>0.96</c:v>
                </c:pt>
                <c:pt idx="8">
                  <c:v>0.946666666666667</c:v>
                </c:pt>
                <c:pt idx="9">
                  <c:v>0.92</c:v>
                </c:pt>
                <c:pt idx="10">
                  <c:v>0.966666666666667</c:v>
                </c:pt>
                <c:pt idx="11">
                  <c:v>0.98</c:v>
                </c:pt>
              </c:numCache>
            </c:numRef>
          </c:val>
          <c:smooth val="1"/>
        </c:ser>
        <c:hiLowLines>
          <c:spPr>
            <a:ln w="0">
              <a:noFill/>
            </a:ln>
          </c:spPr>
        </c:hiLowLines>
        <c:marker val="0"/>
        <c:axId val="25392655"/>
        <c:axId val="47402556"/>
      </c:lineChart>
      <c:catAx>
        <c:axId val="25392655"/>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402556"/>
        <c:crosses val="autoZero"/>
        <c:auto val="1"/>
        <c:lblAlgn val="ctr"/>
        <c:lblOffset val="100"/>
        <c:noMultiLvlLbl val="0"/>
      </c:catAx>
      <c:valAx>
        <c:axId val="47402556"/>
        <c:scaling>
          <c:orientation val="minMax"/>
        </c:scaling>
        <c:delete val="0"/>
        <c:axPos val="l"/>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39265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Revenue collected</a:t>
            </a:r>
          </a:p>
        </c:rich>
      </c:tx>
      <c:overlay val="0"/>
      <c:spPr>
        <a:noFill/>
        <a:ln w="0">
          <a:noFill/>
        </a:ln>
      </c:spPr>
    </c:title>
    <c:autoTitleDeleted val="0"/>
    <c:plotArea>
      <c:lineChart>
        <c:grouping val="standard"/>
        <c:varyColors val="0"/>
        <c:ser>
          <c:idx val="0"/>
          <c:order val="0"/>
          <c:tx>
            <c:strRef>
              <c:f>'12-Week Trend'!E4</c:f>
              <c:strCache>
                <c:ptCount val="1"/>
                <c:pt idx="0">
                  <c:v>Revenue</c:v>
                </c:pt>
              </c:strCache>
            </c:strRef>
          </c:tx>
          <c:spPr>
            <a:solidFill>
              <a:srgbClr val="C99A2E"/>
            </a:solidFill>
            <a:ln w="21960">
              <a:solidFill>
                <a:srgbClr val="C99A2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Trend'!$E$5:$E$16</c:f>
              <c:numCache>
                <c:formatCode>\$#,##0;"($"#,##0\);\-</c:formatCode>
                <c:ptCount val="12"/>
                <c:pt idx="0">
                  <c:v>14160</c:v>
                </c:pt>
                <c:pt idx="1">
                  <c:v>14880</c:v>
                </c:pt>
                <c:pt idx="2">
                  <c:v>15840</c:v>
                </c:pt>
                <c:pt idx="3">
                  <c:v>15360</c:v>
                </c:pt>
                <c:pt idx="4">
                  <c:v>16560</c:v>
                </c:pt>
                <c:pt idx="5">
                  <c:v>16200</c:v>
                </c:pt>
                <c:pt idx="6">
                  <c:v>16800</c:v>
                </c:pt>
                <c:pt idx="7">
                  <c:v>17280</c:v>
                </c:pt>
                <c:pt idx="8">
                  <c:v>17040</c:v>
                </c:pt>
                <c:pt idx="9">
                  <c:v>16560</c:v>
                </c:pt>
                <c:pt idx="10">
                  <c:v>17400</c:v>
                </c:pt>
                <c:pt idx="11">
                  <c:v>17640</c:v>
                </c:pt>
              </c:numCache>
            </c:numRef>
          </c:val>
          <c:smooth val="1"/>
        </c:ser>
        <c:hiLowLines>
          <c:spPr>
            <a:ln w="0">
              <a:noFill/>
            </a:ln>
          </c:spPr>
        </c:hiLowLines>
        <c:marker val="0"/>
        <c:axId val="253901"/>
        <c:axId val="94050797"/>
      </c:lineChart>
      <c:catAx>
        <c:axId val="253901"/>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050797"/>
        <c:crosses val="autoZero"/>
        <c:auto val="1"/>
        <c:lblAlgn val="ctr"/>
        <c:lblOffset val="100"/>
        <c:noMultiLvlLbl val="0"/>
      </c:catAx>
      <c:valAx>
        <c:axId val="94050797"/>
        <c:scaling>
          <c:orientation val="minMax"/>
        </c:scaling>
        <c:delete val="0"/>
        <c:axPos val="l"/>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3901"/>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 clinicians healthy</a:t>
            </a:r>
          </a:p>
        </c:rich>
      </c:tx>
      <c:overlay val="0"/>
      <c:spPr>
        <a:noFill/>
        <a:ln w="0">
          <a:noFill/>
        </a:ln>
      </c:spPr>
    </c:title>
    <c:autoTitleDeleted val="0"/>
    <c:plotArea>
      <c:lineChart>
        <c:grouping val="standard"/>
        <c:varyColors val="0"/>
        <c:ser>
          <c:idx val="0"/>
          <c:order val="0"/>
          <c:tx>
            <c:strRef>
              <c:f>'12-Week Trend'!F4</c:f>
              <c:strCache>
                <c:ptCount val="1"/>
                <c:pt idx="0">
                  <c:v>% clinicians healthy</c:v>
                </c:pt>
              </c:strCache>
            </c:strRef>
          </c:tx>
          <c:spPr>
            <a:solidFill>
              <a:srgbClr val="1E6256"/>
            </a:solidFill>
            <a:ln w="21960">
              <a:solidFill>
                <a:srgbClr val="1E625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Trend'!$F$5:$F$16</c:f>
              <c:numCache>
                <c:formatCode>0.0%;\-0.0%;\-</c:formatCode>
                <c:ptCount val="12"/>
                <c:pt idx="0">
                  <c:v>0.5</c:v>
                </c:pt>
                <c:pt idx="1">
                  <c:v>0.666666666666667</c:v>
                </c:pt>
                <c:pt idx="2">
                  <c:v>0.666666666666667</c:v>
                </c:pt>
                <c:pt idx="3">
                  <c:v>0.666666666666667</c:v>
                </c:pt>
                <c:pt idx="4">
                  <c:v>0.833333333333333</c:v>
                </c:pt>
                <c:pt idx="5">
                  <c:v>0.833333333333333</c:v>
                </c:pt>
                <c:pt idx="6">
                  <c:v>0.833333333333333</c:v>
                </c:pt>
                <c:pt idx="7">
                  <c:v>0.833333333333333</c:v>
                </c:pt>
                <c:pt idx="8">
                  <c:v>0.833333333333333</c:v>
                </c:pt>
                <c:pt idx="9">
                  <c:v>0.833333333333333</c:v>
                </c:pt>
                <c:pt idx="10">
                  <c:v>1</c:v>
                </c:pt>
                <c:pt idx="11">
                  <c:v>1</c:v>
                </c:pt>
              </c:numCache>
            </c:numRef>
          </c:val>
          <c:smooth val="1"/>
        </c:ser>
        <c:hiLowLines>
          <c:spPr>
            <a:ln w="0">
              <a:noFill/>
            </a:ln>
          </c:spPr>
        </c:hiLowLines>
        <c:marker val="0"/>
        <c:axId val="31641537"/>
        <c:axId val="10547980"/>
      </c:lineChart>
      <c:catAx>
        <c:axId val="31641537"/>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547980"/>
        <c:crosses val="autoZero"/>
        <c:auto val="1"/>
        <c:lblAlgn val="ctr"/>
        <c:lblOffset val="100"/>
        <c:noMultiLvlLbl val="0"/>
      </c:catAx>
      <c:valAx>
        <c:axId val="10547980"/>
        <c:scaling>
          <c:orientation val="minMax"/>
        </c:scaling>
        <c:delete val="0"/>
        <c:axPos val="l"/>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64153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Notes completion %</a:t>
            </a:r>
          </a:p>
        </c:rich>
      </c:tx>
      <c:overlay val="0"/>
      <c:spPr>
        <a:noFill/>
        <a:ln w="0">
          <a:noFill/>
        </a:ln>
      </c:spPr>
    </c:title>
    <c:autoTitleDeleted val="0"/>
    <c:plotArea>
      <c:lineChart>
        <c:grouping val="standard"/>
        <c:varyColors val="0"/>
        <c:ser>
          <c:idx val="0"/>
          <c:order val="0"/>
          <c:tx>
            <c:strRef>
              <c:f>'12-Week Trend'!G4</c:f>
              <c:strCache>
                <c:ptCount val="1"/>
                <c:pt idx="0">
                  <c:v>Notes completion %</c:v>
                </c:pt>
              </c:strCache>
            </c:strRef>
          </c:tx>
          <c:spPr>
            <a:solidFill>
              <a:srgbClr val="1E6256"/>
            </a:solidFill>
            <a:ln w="21960">
              <a:solidFill>
                <a:srgbClr val="1E625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strRef>
              <c:f>'12-Week Trend'!$A$5:$A$16</c:f>
              <c:strCache>
                <c:ptCount val="12"/>
                <c:pt idx="0">
                  <c:v>Jan 30</c:v>
                </c:pt>
                <c:pt idx="1">
                  <c:v>Feb 6</c:v>
                </c:pt>
                <c:pt idx="2">
                  <c:v>Feb 13</c:v>
                </c:pt>
                <c:pt idx="3">
                  <c:v>Feb 20</c:v>
                </c:pt>
                <c:pt idx="4">
                  <c:v>Feb 27</c:v>
                </c:pt>
                <c:pt idx="5">
                  <c:v>Mar 6</c:v>
                </c:pt>
                <c:pt idx="6">
                  <c:v>Mar 13</c:v>
                </c:pt>
                <c:pt idx="7">
                  <c:v>Mar 20</c:v>
                </c:pt>
                <c:pt idx="8">
                  <c:v>Mar 27</c:v>
                </c:pt>
                <c:pt idx="9">
                  <c:v>Apr 3</c:v>
                </c:pt>
                <c:pt idx="10">
                  <c:v>Apr 10</c:v>
                </c:pt>
                <c:pt idx="11">
                  <c:v>Apr 17</c:v>
                </c:pt>
              </c:strCache>
            </c:strRef>
          </c:cat>
          <c:val>
            <c:numRef>
              <c:f>'12-Week Trend'!$G$5:$G$16</c:f>
              <c:numCache>
                <c:formatCode>0.0%;\-0.0%;\-</c:formatCode>
                <c:ptCount val="12"/>
                <c:pt idx="0">
                  <c:v>0.666666666666667</c:v>
                </c:pt>
                <c:pt idx="1">
                  <c:v>0.711111111111111</c:v>
                </c:pt>
                <c:pt idx="2">
                  <c:v>0.729166666666667</c:v>
                </c:pt>
                <c:pt idx="3">
                  <c:v>0.652173913043478</c:v>
                </c:pt>
                <c:pt idx="4">
                  <c:v>0.8</c:v>
                </c:pt>
                <c:pt idx="5">
                  <c:v>0.775510204081633</c:v>
                </c:pt>
                <c:pt idx="6">
                  <c:v>0.823529411764706</c:v>
                </c:pt>
                <c:pt idx="7">
                  <c:v>0.865384615384615</c:v>
                </c:pt>
                <c:pt idx="8">
                  <c:v>0.884615384615385</c:v>
                </c:pt>
                <c:pt idx="9">
                  <c:v>0.88</c:v>
                </c:pt>
                <c:pt idx="10">
                  <c:v>0.905660377358491</c:v>
                </c:pt>
                <c:pt idx="11">
                  <c:v>0.943396226415094</c:v>
                </c:pt>
              </c:numCache>
            </c:numRef>
          </c:val>
          <c:smooth val="1"/>
        </c:ser>
        <c:hiLowLines>
          <c:spPr>
            <a:ln w="0">
              <a:noFill/>
            </a:ln>
          </c:spPr>
        </c:hiLowLines>
        <c:marker val="0"/>
        <c:axId val="73650417"/>
        <c:axId val="78753253"/>
      </c:lineChart>
      <c:catAx>
        <c:axId val="73650417"/>
        <c:scaling>
          <c:orientation val="minMax"/>
        </c:scaling>
        <c:delete val="0"/>
        <c:axPos val="b"/>
        <c:numFmt formatCode="mmm\ d"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8753253"/>
        <c:crosses val="autoZero"/>
        <c:auto val="1"/>
        <c:lblAlgn val="ctr"/>
        <c:lblOffset val="100"/>
        <c:noMultiLvlLbl val="0"/>
      </c:catAx>
      <c:valAx>
        <c:axId val="78753253"/>
        <c:scaling>
          <c:orientation val="minMax"/>
        </c:scaling>
        <c:delete val="0"/>
        <c:axPos val="l"/>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65041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0</xdr:rowOff>
    </xdr:from>
    <xdr:to>
      <xdr:col>7</xdr:col>
      <xdr:colOff>622080</xdr:colOff>
      <xdr:row>43</xdr:row>
      <xdr:rowOff>136440</xdr:rowOff>
    </xdr:to>
    <xdr:graphicFrame>
      <xdr:nvGraphicFramePr>
        <xdr:cNvPr id="1" name="Chart 1"/>
        <xdr:cNvGraphicFramePr/>
      </xdr:nvGraphicFramePr>
      <xdr:xfrm>
        <a:off x="141120" y="561024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27</xdr:row>
      <xdr:rowOff>0</xdr:rowOff>
    </xdr:from>
    <xdr:to>
      <xdr:col>14</xdr:col>
      <xdr:colOff>174240</xdr:colOff>
      <xdr:row>43</xdr:row>
      <xdr:rowOff>136440</xdr:rowOff>
    </xdr:to>
    <xdr:graphicFrame>
      <xdr:nvGraphicFramePr>
        <xdr:cNvPr id="2" name="Chart 2"/>
        <xdr:cNvGraphicFramePr/>
      </xdr:nvGraphicFramePr>
      <xdr:xfrm>
        <a:off x="4722480" y="5610240"/>
        <a:ext cx="61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43</xdr:row>
      <xdr:rowOff>0</xdr:rowOff>
    </xdr:from>
    <xdr:to>
      <xdr:col>4</xdr:col>
      <xdr:colOff>671040</xdr:colOff>
      <xdr:row>55</xdr:row>
      <xdr:rowOff>102240</xdr:rowOff>
    </xdr:to>
    <xdr:graphicFrame>
      <xdr:nvGraphicFramePr>
        <xdr:cNvPr id="3" name="Chart 3"/>
        <xdr:cNvGraphicFramePr/>
      </xdr:nvGraphicFramePr>
      <xdr:xfrm>
        <a:off x="141120" y="8353440"/>
        <a:ext cx="3419640" cy="21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43</xdr:row>
      <xdr:rowOff>0</xdr:rowOff>
    </xdr:from>
    <xdr:to>
      <xdr:col>7</xdr:col>
      <xdr:colOff>670680</xdr:colOff>
      <xdr:row>55</xdr:row>
      <xdr:rowOff>102240</xdr:rowOff>
    </xdr:to>
    <xdr:graphicFrame>
      <xdr:nvGraphicFramePr>
        <xdr:cNvPr id="4" name="Chart 4"/>
        <xdr:cNvGraphicFramePr/>
      </xdr:nvGraphicFramePr>
      <xdr:xfrm>
        <a:off x="2889720" y="8353440"/>
        <a:ext cx="3419640" cy="21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43</xdr:row>
      <xdr:rowOff>0</xdr:rowOff>
    </xdr:from>
    <xdr:to>
      <xdr:col>10</xdr:col>
      <xdr:colOff>670680</xdr:colOff>
      <xdr:row>55</xdr:row>
      <xdr:rowOff>102240</xdr:rowOff>
    </xdr:to>
    <xdr:graphicFrame>
      <xdr:nvGraphicFramePr>
        <xdr:cNvPr id="5" name="Chart 5"/>
        <xdr:cNvGraphicFramePr/>
      </xdr:nvGraphicFramePr>
      <xdr:xfrm>
        <a:off x="5638680" y="8353440"/>
        <a:ext cx="3419640" cy="21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1</xdr:row>
      <xdr:rowOff>0</xdr:rowOff>
    </xdr:from>
    <xdr:to>
      <xdr:col>1</xdr:col>
      <xdr:colOff>856800</xdr:colOff>
      <xdr:row>3</xdr:row>
      <xdr:rowOff>209160</xdr:rowOff>
    </xdr:to>
    <xdr:pic>
      <xdr:nvPicPr>
        <xdr:cNvPr id="6" name="Image 6" descr="Picture"/>
        <xdr:cNvPicPr/>
      </xdr:nvPicPr>
      <xdr:blipFill>
        <a:blip r:embed="rId6"/>
        <a:stretch/>
      </xdr:blipFill>
      <xdr:spPr>
        <a:xfrm>
          <a:off x="141120" y="200160"/>
          <a:ext cx="856800" cy="856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16</xdr:col>
      <xdr:colOff>147600</xdr:colOff>
      <xdr:row>15</xdr:row>
      <xdr:rowOff>71640</xdr:rowOff>
    </xdr:to>
    <xdr:graphicFrame>
      <xdr:nvGraphicFramePr>
        <xdr:cNvPr id="7" name="Chart 1"/>
        <xdr:cNvGraphicFramePr/>
      </xdr:nvGraphicFramePr>
      <xdr:xfrm>
        <a:off x="9492480" y="60948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18</xdr:row>
      <xdr:rowOff>0</xdr:rowOff>
    </xdr:from>
    <xdr:to>
      <xdr:col>16</xdr:col>
      <xdr:colOff>147600</xdr:colOff>
      <xdr:row>31</xdr:row>
      <xdr:rowOff>43200</xdr:rowOff>
    </xdr:to>
    <xdr:graphicFrame>
      <xdr:nvGraphicFramePr>
        <xdr:cNvPr id="8" name="Chart 2"/>
        <xdr:cNvGraphicFramePr/>
      </xdr:nvGraphicFramePr>
      <xdr:xfrm>
        <a:off x="9492480" y="362916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33</xdr:row>
      <xdr:rowOff>0</xdr:rowOff>
    </xdr:from>
    <xdr:to>
      <xdr:col>16</xdr:col>
      <xdr:colOff>147600</xdr:colOff>
      <xdr:row>46</xdr:row>
      <xdr:rowOff>43200</xdr:rowOff>
    </xdr:to>
    <xdr:graphicFrame>
      <xdr:nvGraphicFramePr>
        <xdr:cNvPr id="9" name="Chart 3"/>
        <xdr:cNvGraphicFramePr/>
      </xdr:nvGraphicFramePr>
      <xdr:xfrm>
        <a:off x="9492480" y="6486480"/>
        <a:ext cx="503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48</xdr:row>
      <xdr:rowOff>0</xdr:rowOff>
    </xdr:from>
    <xdr:to>
      <xdr:col>16</xdr:col>
      <xdr:colOff>147600</xdr:colOff>
      <xdr:row>61</xdr:row>
      <xdr:rowOff>43200</xdr:rowOff>
    </xdr:to>
    <xdr:graphicFrame>
      <xdr:nvGraphicFramePr>
        <xdr:cNvPr id="10" name="Chart 4"/>
        <xdr:cNvGraphicFramePr/>
      </xdr:nvGraphicFramePr>
      <xdr:xfrm>
        <a:off x="9492480" y="9344160"/>
        <a:ext cx="503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63</xdr:row>
      <xdr:rowOff>0</xdr:rowOff>
    </xdr:from>
    <xdr:to>
      <xdr:col>16</xdr:col>
      <xdr:colOff>147600</xdr:colOff>
      <xdr:row>76</xdr:row>
      <xdr:rowOff>43200</xdr:rowOff>
    </xdr:to>
    <xdr:graphicFrame>
      <xdr:nvGraphicFramePr>
        <xdr:cNvPr id="11" name="Chart 5"/>
        <xdr:cNvGraphicFramePr/>
      </xdr:nvGraphicFramePr>
      <xdr:xfrm>
        <a:off x="9492480" y="12201480"/>
        <a:ext cx="5039640" cy="251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78</xdr:row>
      <xdr:rowOff>0</xdr:rowOff>
    </xdr:from>
    <xdr:to>
      <xdr:col>16</xdr:col>
      <xdr:colOff>147600</xdr:colOff>
      <xdr:row>91</xdr:row>
      <xdr:rowOff>43200</xdr:rowOff>
    </xdr:to>
    <xdr:graphicFrame>
      <xdr:nvGraphicFramePr>
        <xdr:cNvPr id="12" name="Chart 6"/>
        <xdr:cNvGraphicFramePr/>
      </xdr:nvGraphicFramePr>
      <xdr:xfrm>
        <a:off x="9492480" y="15059160"/>
        <a:ext cx="5039640" cy="251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11" min="2" style="0" width="13"/>
    <col collapsed="false" customWidth="true" hidden="false" outlineLevel="0" max="12" min="12" style="0" width="2"/>
  </cols>
  <sheetData>
    <row r="1" customFormat="false" ht="15.75" hidden="false" customHeight="true" outlineLevel="0" collapsed="false">
      <c r="A1" s="1"/>
      <c r="B1" s="1"/>
      <c r="C1" s="1"/>
      <c r="D1" s="1"/>
      <c r="E1" s="1"/>
      <c r="F1" s="1"/>
      <c r="G1" s="1"/>
      <c r="H1" s="1"/>
      <c r="I1" s="1"/>
      <c r="J1" s="1"/>
      <c r="K1" s="1"/>
      <c r="L1" s="1"/>
    </row>
    <row r="2" customFormat="false" ht="25.5" hidden="false" customHeight="true" outlineLevel="0" collapsed="false">
      <c r="A2" s="1"/>
      <c r="B2" s="1"/>
      <c r="C2" s="1"/>
      <c r="D2" s="2" t="s">
        <v>0</v>
      </c>
      <c r="E2" s="2"/>
      <c r="F2" s="2"/>
      <c r="G2" s="2"/>
      <c r="H2" s="2"/>
      <c r="I2" s="2"/>
      <c r="J2" s="2"/>
      <c r="K2" s="2"/>
      <c r="L2" s="1"/>
    </row>
    <row r="3" customFormat="false" ht="25.5" hidden="false" customHeight="true" outlineLevel="0" collapsed="false">
      <c r="A3" s="1"/>
      <c r="B3" s="1"/>
      <c r="C3" s="1"/>
      <c r="D3" s="3" t="s">
        <v>1</v>
      </c>
      <c r="E3" s="3"/>
      <c r="F3" s="3"/>
      <c r="G3" s="3"/>
      <c r="H3" s="3"/>
      <c r="I3" s="3"/>
      <c r="J3" s="3"/>
      <c r="K3" s="3"/>
      <c r="L3" s="1"/>
    </row>
    <row r="4" customFormat="false" ht="25.5" hidden="false" customHeight="true" outlineLevel="0" collapsed="false">
      <c r="A4" s="1"/>
      <c r="B4" s="1"/>
      <c r="C4" s="1"/>
      <c r="D4" s="4" t="s">
        <v>2</v>
      </c>
      <c r="E4" s="4"/>
      <c r="F4" s="4"/>
      <c r="G4" s="4"/>
      <c r="H4" s="4"/>
      <c r="I4" s="4"/>
      <c r="J4" s="4"/>
      <c r="K4" s="4"/>
      <c r="L4" s="1"/>
    </row>
    <row r="5" customFormat="false" ht="7.5" hidden="false" customHeight="true" outlineLevel="0" collapsed="false">
      <c r="A5" s="1"/>
      <c r="B5" s="1"/>
      <c r="C5" s="1"/>
      <c r="D5" s="1"/>
      <c r="E5" s="1"/>
      <c r="F5" s="1"/>
      <c r="G5" s="1"/>
      <c r="H5" s="1"/>
      <c r="I5" s="1"/>
      <c r="J5" s="1"/>
      <c r="K5" s="1"/>
      <c r="L5" s="1"/>
    </row>
    <row r="6" customFormat="false" ht="3.75" hidden="false" customHeight="true" outlineLevel="0" collapsed="false">
      <c r="A6" s="1"/>
      <c r="B6" s="5"/>
      <c r="C6" s="5"/>
      <c r="D6" s="5"/>
      <c r="E6" s="5"/>
      <c r="F6" s="5"/>
      <c r="G6" s="5"/>
      <c r="H6" s="5"/>
      <c r="I6" s="5"/>
      <c r="J6" s="5"/>
      <c r="K6" s="5"/>
      <c r="L6" s="1"/>
    </row>
    <row r="7" customFormat="false" ht="9.75" hidden="false" customHeight="true" outlineLevel="0" collapsed="false">
      <c r="A7" s="1"/>
      <c r="B7" s="1"/>
      <c r="C7" s="1"/>
      <c r="D7" s="1"/>
      <c r="E7" s="1"/>
      <c r="F7" s="1"/>
      <c r="G7" s="1"/>
      <c r="H7" s="1"/>
      <c r="I7" s="1"/>
      <c r="J7" s="1"/>
      <c r="K7" s="1"/>
      <c r="L7" s="1"/>
    </row>
    <row r="8" customFormat="false" ht="27.75" hidden="false" customHeight="true" outlineLevel="0" collapsed="false">
      <c r="A8" s="1"/>
      <c r="B8" s="6" t="str">
        <f aca="false">"Week of "&amp;TEXT('Weekly Entry'!A19,"mmmm d, yyyy")</f>
        <v>Week of April 17, 2026</v>
      </c>
      <c r="C8" s="6"/>
      <c r="D8" s="6"/>
      <c r="E8" s="6"/>
      <c r="F8" s="6"/>
      <c r="G8" s="6"/>
      <c r="H8" s="6"/>
      <c r="I8" s="6"/>
      <c r="J8" s="6"/>
      <c r="K8" s="6"/>
      <c r="L8" s="1"/>
    </row>
    <row r="9" customFormat="false" ht="12" hidden="false" customHeight="true" outlineLevel="0" collapsed="false">
      <c r="A9" s="1"/>
      <c r="B9" s="1"/>
      <c r="C9" s="1"/>
      <c r="D9" s="1"/>
      <c r="E9" s="1"/>
      <c r="F9" s="1"/>
      <c r="G9" s="1"/>
      <c r="H9" s="1"/>
      <c r="I9" s="1"/>
      <c r="J9" s="1"/>
      <c r="K9" s="1"/>
      <c r="L9" s="1"/>
    </row>
    <row r="10" customFormat="false" ht="6" hidden="false" customHeight="true" outlineLevel="0" collapsed="false">
      <c r="A10" s="1"/>
      <c r="B10" s="5"/>
      <c r="C10" s="5"/>
      <c r="D10" s="5"/>
      <c r="E10" s="5"/>
      <c r="F10" s="5"/>
      <c r="G10" s="5"/>
      <c r="H10" s="5"/>
      <c r="I10" s="5"/>
      <c r="J10" s="5"/>
      <c r="K10" s="1"/>
      <c r="L10" s="1"/>
    </row>
    <row r="11" customFormat="false" ht="18" hidden="false" customHeight="true" outlineLevel="0" collapsed="false">
      <c r="A11" s="1"/>
      <c r="B11" s="7" t="s">
        <v>3</v>
      </c>
      <c r="C11" s="7"/>
      <c r="D11" s="7"/>
      <c r="E11" s="7" t="s">
        <v>4</v>
      </c>
      <c r="F11" s="7"/>
      <c r="G11" s="7"/>
      <c r="H11" s="7" t="s">
        <v>5</v>
      </c>
      <c r="I11" s="7"/>
      <c r="J11" s="7"/>
      <c r="K11" s="1"/>
      <c r="L11" s="1"/>
    </row>
    <row r="12" customFormat="false" ht="37.5" hidden="false" customHeight="true" outlineLevel="0" collapsed="false">
      <c r="A12" s="1"/>
      <c r="B12" s="8" t="n">
        <f aca="false">'Weekly Entry'!B19</f>
        <v>13</v>
      </c>
      <c r="C12" s="8"/>
      <c r="D12" s="8"/>
      <c r="E12" s="9" t="n">
        <f aca="false">'Weekly Entry'!D19</f>
        <v>0.769230769230769</v>
      </c>
      <c r="F12" s="9"/>
      <c r="G12" s="9"/>
      <c r="H12" s="9" t="n">
        <f aca="false">'Weekly Entry'!G19</f>
        <v>0.98</v>
      </c>
      <c r="I12" s="9"/>
      <c r="J12" s="9"/>
      <c r="K12" s="1"/>
      <c r="L12" s="1"/>
    </row>
    <row r="13" customFormat="false" ht="18" hidden="false" customHeight="true" outlineLevel="0" collapsed="false">
      <c r="A13" s="1"/>
      <c r="B13" s="10" t="str">
        <f aca="false">IF(ISNUMBER('Weekly Entry'!B18),IF('Weekly Entry'!B19-'Weekly Entry'!B18&gt;=0,"▲ ","▼ ")&amp;TEXT(ABS('Weekly Entry'!B19-'Weekly Entry'!B18),"0")&amp;" vs. last week","")</f>
        <v>▼ 1 vs. last week</v>
      </c>
      <c r="C13" s="10"/>
      <c r="D13" s="10"/>
      <c r="E13" s="10" t="str">
        <f aca="false">IF(ISNUMBER('Weekly Entry'!D18),IF('Weekly Entry'!D19-'Weekly Entry'!D18&gt;=0,"▲ ","▼ ")&amp;TEXT(ABS('Weekly Entry'!D19-'Weekly Entry'!D18),"0.0%")&amp;" vs. last week","")</f>
        <v>▲ 5.5% vs. last week</v>
      </c>
      <c r="F13" s="10"/>
      <c r="G13" s="10"/>
      <c r="H13" s="10" t="str">
        <f aca="false">IF(ISNUMBER('Weekly Entry'!G18),IF('Weekly Entry'!G19-'Weekly Entry'!G18&gt;=0,"▲ ","▼ ")&amp;TEXT(ABS('Weekly Entry'!G19-'Weekly Entry'!G18),"0.0%")&amp;" vs. last week","")</f>
        <v>▲ 1.3% vs. last week</v>
      </c>
      <c r="I13" s="10"/>
      <c r="J13" s="10"/>
      <c r="K13" s="1"/>
      <c r="L13" s="1"/>
    </row>
    <row r="14" customFormat="false" ht="15.75" hidden="false" customHeight="true" outlineLevel="0" collapsed="false">
      <c r="A14" s="1"/>
      <c r="B14" s="11" t="s">
        <v>6</v>
      </c>
      <c r="C14" s="11"/>
      <c r="D14" s="11"/>
      <c r="E14" s="11" t="s">
        <v>7</v>
      </c>
      <c r="F14" s="11"/>
      <c r="G14" s="11"/>
      <c r="H14" s="11" t="s">
        <v>8</v>
      </c>
      <c r="I14" s="11"/>
      <c r="J14" s="11"/>
      <c r="K14" s="1"/>
      <c r="L14" s="1"/>
    </row>
    <row r="15" customFormat="false" ht="7.5" hidden="false" customHeight="true" outlineLevel="0" collapsed="false">
      <c r="A15" s="1"/>
      <c r="B15" s="12"/>
      <c r="C15" s="12"/>
      <c r="D15" s="12"/>
      <c r="E15" s="12"/>
      <c r="F15" s="12"/>
      <c r="G15" s="12"/>
      <c r="H15" s="12"/>
      <c r="I15" s="12"/>
      <c r="J15" s="12"/>
      <c r="K15" s="1"/>
      <c r="L15" s="1"/>
    </row>
    <row r="16" customFormat="false" ht="15" hidden="false" customHeight="false" outlineLevel="0" collapsed="false">
      <c r="A16" s="1"/>
      <c r="B16" s="1"/>
      <c r="C16" s="1"/>
      <c r="D16" s="1"/>
      <c r="E16" s="1"/>
      <c r="F16" s="1"/>
      <c r="G16" s="1"/>
      <c r="H16" s="1"/>
      <c r="I16" s="1"/>
      <c r="J16" s="1"/>
      <c r="K16" s="1"/>
      <c r="L16" s="1"/>
    </row>
    <row r="17" customFormat="false" ht="6" hidden="false" customHeight="true" outlineLevel="0" collapsed="false">
      <c r="A17" s="1"/>
      <c r="B17" s="5"/>
      <c r="C17" s="5"/>
      <c r="D17" s="5"/>
      <c r="E17" s="5"/>
      <c r="F17" s="5"/>
      <c r="G17" s="5"/>
      <c r="H17" s="5"/>
      <c r="I17" s="5"/>
      <c r="J17" s="5"/>
      <c r="K17" s="1"/>
      <c r="L17" s="1"/>
    </row>
    <row r="18" customFormat="false" ht="18" hidden="false" customHeight="true" outlineLevel="0" collapsed="false">
      <c r="A18" s="1"/>
      <c r="B18" s="7" t="s">
        <v>9</v>
      </c>
      <c r="C18" s="7"/>
      <c r="D18" s="7"/>
      <c r="E18" s="7" t="s">
        <v>10</v>
      </c>
      <c r="F18" s="7"/>
      <c r="G18" s="7"/>
      <c r="H18" s="7" t="s">
        <v>11</v>
      </c>
      <c r="I18" s="7"/>
      <c r="J18" s="7"/>
      <c r="K18" s="1"/>
      <c r="L18" s="1"/>
    </row>
    <row r="19" customFormat="false" ht="37.5" hidden="false" customHeight="true" outlineLevel="0" collapsed="false">
      <c r="A19" s="1"/>
      <c r="B19" s="13" t="n">
        <f aca="false">'Weekly Entry'!H19</f>
        <v>17640</v>
      </c>
      <c r="C19" s="13"/>
      <c r="D19" s="13"/>
      <c r="E19" s="9" t="n">
        <f aca="false">'Weekly Entry'!K19</f>
        <v>1</v>
      </c>
      <c r="F19" s="9"/>
      <c r="G19" s="9"/>
      <c r="H19" s="9" t="n">
        <f aca="false">'Weekly Entry'!N19</f>
        <v>0.943396226415094</v>
      </c>
      <c r="I19" s="9"/>
      <c r="J19" s="9"/>
      <c r="K19" s="1"/>
      <c r="L19" s="1"/>
    </row>
    <row r="20" customFormat="false" ht="18" hidden="false" customHeight="true" outlineLevel="0" collapsed="false">
      <c r="A20" s="1"/>
      <c r="B20" s="10" t="str">
        <f aca="false">IF(ISNUMBER('Weekly Entry'!H18),IF('Weekly Entry'!H19-'Weekly Entry'!H18&gt;=0,"▲ ","▼ ")&amp;TEXT(ABS('Weekly Entry'!H19-'Weekly Entry'!H18),"$#,##0")&amp;" vs. last week","")</f>
        <v>▲ $240 vs. last week</v>
      </c>
      <c r="C20" s="10"/>
      <c r="D20" s="10"/>
      <c r="E20" s="10" t="str">
        <f aca="false">IF(ISNUMBER('Weekly Entry'!K18),IF('Weekly Entry'!K19-'Weekly Entry'!K18&gt;=0,"▲ ","▼ ")&amp;TEXT(ABS('Weekly Entry'!K19-'Weekly Entry'!K18),"0.0%")&amp;" vs. last week","")</f>
        <v>▲ 0.0% vs. last week</v>
      </c>
      <c r="F20" s="10"/>
      <c r="G20" s="10"/>
      <c r="H20" s="10" t="str">
        <f aca="false">IF(ISNUMBER('Weekly Entry'!N18),IF('Weekly Entry'!N19-'Weekly Entry'!N18&gt;=0,"▲ ","▼ ")&amp;TEXT(ABS('Weekly Entry'!N19-'Weekly Entry'!N18),"0.0%")&amp;" vs. last week","")</f>
        <v>▲ 3.8% vs. last week</v>
      </c>
      <c r="I20" s="10"/>
      <c r="J20" s="10"/>
      <c r="K20" s="1"/>
      <c r="L20" s="1"/>
    </row>
    <row r="21" customFormat="false" ht="15.75" hidden="false" customHeight="true" outlineLevel="0" collapsed="false">
      <c r="A21" s="1"/>
      <c r="B21" s="11" t="s">
        <v>12</v>
      </c>
      <c r="C21" s="11"/>
      <c r="D21" s="11"/>
      <c r="E21" s="11" t="s">
        <v>13</v>
      </c>
      <c r="F21" s="11"/>
      <c r="G21" s="11"/>
      <c r="H21" s="11" t="s">
        <v>8</v>
      </c>
      <c r="I21" s="11"/>
      <c r="J21" s="11"/>
      <c r="K21" s="1"/>
      <c r="L21" s="1"/>
    </row>
    <row r="22" customFormat="false" ht="7.5" hidden="false" customHeight="true" outlineLevel="0" collapsed="false">
      <c r="A22" s="1"/>
      <c r="B22" s="12"/>
      <c r="C22" s="12"/>
      <c r="D22" s="12"/>
      <c r="E22" s="12"/>
      <c r="F22" s="12"/>
      <c r="G22" s="12"/>
      <c r="H22" s="12"/>
      <c r="I22" s="12"/>
      <c r="J22" s="12"/>
      <c r="K22" s="1"/>
      <c r="L22" s="1"/>
    </row>
    <row r="23" customFormat="false" ht="15" hidden="false" customHeight="false" outlineLevel="0" collapsed="false">
      <c r="A23" s="1"/>
      <c r="B23" s="1"/>
      <c r="C23" s="1"/>
      <c r="D23" s="1"/>
      <c r="E23" s="1"/>
      <c r="F23" s="1"/>
      <c r="G23" s="1"/>
      <c r="H23" s="1"/>
      <c r="I23" s="1"/>
      <c r="J23" s="1"/>
      <c r="K23" s="1"/>
      <c r="L23" s="1"/>
    </row>
    <row r="24" customFormat="false" ht="15" hidden="false" customHeight="false" outlineLevel="0" collapsed="false">
      <c r="A24" s="1"/>
      <c r="B24" s="1"/>
      <c r="C24" s="1"/>
      <c r="D24" s="1"/>
      <c r="E24" s="1"/>
      <c r="F24" s="1"/>
      <c r="G24" s="1"/>
      <c r="H24" s="1"/>
      <c r="I24" s="1"/>
      <c r="J24" s="1"/>
      <c r="K24" s="1"/>
      <c r="L24" s="1"/>
    </row>
    <row r="25" customFormat="false" ht="27.75" hidden="false" customHeight="true" outlineLevel="0" collapsed="false">
      <c r="A25" s="1"/>
      <c r="B25" s="14" t="s">
        <v>14</v>
      </c>
      <c r="C25" s="14"/>
      <c r="D25" s="14"/>
      <c r="E25" s="14"/>
      <c r="F25" s="14"/>
      <c r="G25" s="14"/>
      <c r="H25" s="14"/>
      <c r="I25" s="14"/>
      <c r="J25" s="14"/>
      <c r="K25" s="14"/>
      <c r="L25" s="1"/>
    </row>
    <row r="26" customFormat="false" ht="3" hidden="false" customHeight="true" outlineLevel="0" collapsed="false">
      <c r="A26" s="1"/>
      <c r="B26" s="15"/>
      <c r="C26" s="15"/>
      <c r="D26" s="15"/>
      <c r="E26" s="15"/>
      <c r="F26" s="15"/>
      <c r="G26" s="15"/>
      <c r="H26" s="15"/>
      <c r="I26" s="15"/>
      <c r="J26" s="15"/>
      <c r="K26" s="15"/>
      <c r="L26" s="1"/>
    </row>
    <row r="27" customFormat="false" ht="7.5" hidden="false" customHeight="true" outlineLevel="0" collapsed="false">
      <c r="A27" s="1"/>
      <c r="B27" s="1"/>
      <c r="C27" s="1"/>
      <c r="D27" s="1"/>
      <c r="E27" s="1"/>
      <c r="F27" s="1"/>
      <c r="G27" s="1"/>
      <c r="H27" s="1"/>
      <c r="I27" s="1"/>
      <c r="J27" s="1"/>
      <c r="K27" s="1"/>
      <c r="L27" s="1"/>
    </row>
    <row r="28" customFormat="false" ht="13.5" hidden="false" customHeight="true" outlineLevel="0" collapsed="false">
      <c r="A28" s="1"/>
      <c r="B28" s="1"/>
      <c r="C28" s="1"/>
      <c r="D28" s="1"/>
      <c r="E28" s="1"/>
      <c r="F28" s="1"/>
      <c r="G28" s="1"/>
      <c r="H28" s="1"/>
      <c r="I28" s="1"/>
      <c r="J28" s="1"/>
      <c r="K28" s="1"/>
      <c r="L28" s="1"/>
    </row>
    <row r="29" customFormat="false" ht="13.5" hidden="false" customHeight="true" outlineLevel="0" collapsed="false">
      <c r="A29" s="1"/>
      <c r="B29" s="1"/>
      <c r="C29" s="1"/>
      <c r="D29" s="1"/>
      <c r="E29" s="1"/>
      <c r="F29" s="1"/>
      <c r="G29" s="1"/>
      <c r="H29" s="1"/>
      <c r="I29" s="1"/>
      <c r="J29" s="1"/>
      <c r="K29" s="1"/>
      <c r="L29" s="1"/>
    </row>
    <row r="30" customFormat="false" ht="13.5" hidden="false" customHeight="true" outlineLevel="0" collapsed="false">
      <c r="A30" s="1"/>
      <c r="B30" s="1"/>
      <c r="C30" s="1"/>
      <c r="D30" s="1"/>
      <c r="E30" s="1"/>
      <c r="F30" s="1"/>
      <c r="G30" s="1"/>
      <c r="H30" s="1"/>
      <c r="I30" s="1"/>
      <c r="J30" s="1"/>
      <c r="K30" s="1"/>
      <c r="L30" s="1"/>
    </row>
    <row r="31" customFormat="false" ht="13.5" hidden="false" customHeight="true" outlineLevel="0" collapsed="false">
      <c r="A31" s="1"/>
      <c r="B31" s="1"/>
      <c r="C31" s="1"/>
      <c r="D31" s="1"/>
      <c r="E31" s="1"/>
      <c r="F31" s="1"/>
      <c r="G31" s="1"/>
      <c r="H31" s="1"/>
      <c r="I31" s="1"/>
      <c r="J31" s="1"/>
      <c r="K31" s="1"/>
      <c r="L31" s="1"/>
    </row>
    <row r="32" customFormat="false" ht="13.5" hidden="false" customHeight="true" outlineLevel="0" collapsed="false">
      <c r="A32" s="1"/>
      <c r="B32" s="1"/>
      <c r="C32" s="1"/>
      <c r="D32" s="1"/>
      <c r="E32" s="1"/>
      <c r="F32" s="1"/>
      <c r="G32" s="1"/>
      <c r="H32" s="1"/>
      <c r="I32" s="1"/>
      <c r="J32" s="1"/>
      <c r="K32" s="1"/>
      <c r="L32" s="1"/>
    </row>
    <row r="33" customFormat="false" ht="13.5" hidden="false" customHeight="true" outlineLevel="0" collapsed="false">
      <c r="A33" s="1"/>
      <c r="B33" s="1"/>
      <c r="C33" s="1"/>
      <c r="D33" s="1"/>
      <c r="E33" s="1"/>
      <c r="F33" s="1"/>
      <c r="G33" s="1"/>
      <c r="H33" s="1"/>
      <c r="I33" s="1"/>
      <c r="J33" s="1"/>
      <c r="K33" s="1"/>
      <c r="L33" s="1"/>
    </row>
    <row r="34" customFormat="false" ht="13.5" hidden="false" customHeight="true" outlineLevel="0" collapsed="false">
      <c r="A34" s="1"/>
      <c r="B34" s="1"/>
      <c r="C34" s="1"/>
      <c r="D34" s="1"/>
      <c r="E34" s="1"/>
      <c r="F34" s="1"/>
      <c r="G34" s="1"/>
      <c r="H34" s="1"/>
      <c r="I34" s="1"/>
      <c r="J34" s="1"/>
      <c r="K34" s="1"/>
      <c r="L34" s="1"/>
    </row>
    <row r="35" customFormat="false" ht="13.5" hidden="false" customHeight="true" outlineLevel="0" collapsed="false">
      <c r="A35" s="1"/>
      <c r="B35" s="1"/>
      <c r="C35" s="1"/>
      <c r="D35" s="1"/>
      <c r="E35" s="1"/>
      <c r="F35" s="1"/>
      <c r="G35" s="1"/>
      <c r="H35" s="1"/>
      <c r="I35" s="1"/>
      <c r="J35" s="1"/>
      <c r="K35" s="1"/>
      <c r="L35" s="1"/>
    </row>
    <row r="36" customFormat="false" ht="13.5" hidden="false" customHeight="true" outlineLevel="0" collapsed="false">
      <c r="A36" s="1"/>
      <c r="B36" s="1"/>
      <c r="C36" s="1"/>
      <c r="D36" s="1"/>
      <c r="E36" s="1"/>
      <c r="F36" s="1"/>
      <c r="G36" s="1"/>
      <c r="H36" s="1"/>
      <c r="I36" s="1"/>
      <c r="J36" s="1"/>
      <c r="K36" s="1"/>
      <c r="L36" s="1"/>
    </row>
    <row r="37" customFormat="false" ht="13.5" hidden="false" customHeight="true" outlineLevel="0" collapsed="false">
      <c r="A37" s="1"/>
      <c r="B37" s="1"/>
      <c r="C37" s="1"/>
      <c r="D37" s="1"/>
      <c r="E37" s="1"/>
      <c r="F37" s="1"/>
      <c r="G37" s="1"/>
      <c r="H37" s="1"/>
      <c r="I37" s="1"/>
      <c r="J37" s="1"/>
      <c r="K37" s="1"/>
      <c r="L37" s="1"/>
    </row>
    <row r="38" customFormat="false" ht="13.5" hidden="false" customHeight="true" outlineLevel="0" collapsed="false">
      <c r="A38" s="1"/>
      <c r="B38" s="1"/>
      <c r="C38" s="1"/>
      <c r="D38" s="1"/>
      <c r="E38" s="1"/>
      <c r="F38" s="1"/>
      <c r="G38" s="1"/>
      <c r="H38" s="1"/>
      <c r="I38" s="1"/>
      <c r="J38" s="1"/>
      <c r="K38" s="1"/>
      <c r="L38" s="1"/>
    </row>
    <row r="39" customFormat="false" ht="13.5" hidden="false" customHeight="true" outlineLevel="0" collapsed="false">
      <c r="A39" s="1"/>
      <c r="B39" s="1"/>
      <c r="C39" s="1"/>
      <c r="D39" s="1"/>
      <c r="E39" s="1"/>
      <c r="F39" s="1"/>
      <c r="G39" s="1"/>
      <c r="H39" s="1"/>
      <c r="I39" s="1"/>
      <c r="J39" s="1"/>
      <c r="K39" s="1"/>
      <c r="L39" s="1"/>
    </row>
    <row r="40" customFormat="false" ht="13.5" hidden="false" customHeight="true" outlineLevel="0" collapsed="false">
      <c r="A40" s="1"/>
      <c r="B40" s="1"/>
      <c r="C40" s="1"/>
      <c r="D40" s="1"/>
      <c r="E40" s="1"/>
      <c r="F40" s="1"/>
      <c r="G40" s="1"/>
      <c r="H40" s="1"/>
      <c r="I40" s="1"/>
      <c r="J40" s="1"/>
      <c r="K40" s="1"/>
      <c r="L40" s="1"/>
    </row>
    <row r="41" customFormat="false" ht="13.5" hidden="false" customHeight="true" outlineLevel="0" collapsed="false">
      <c r="A41" s="1"/>
      <c r="B41" s="1"/>
      <c r="C41" s="1"/>
      <c r="D41" s="1"/>
      <c r="E41" s="1"/>
      <c r="F41" s="1"/>
      <c r="G41" s="1"/>
      <c r="H41" s="1"/>
      <c r="I41" s="1"/>
      <c r="J41" s="1"/>
      <c r="K41" s="1"/>
      <c r="L41" s="1"/>
    </row>
    <row r="42" customFormat="false" ht="13.5" hidden="false" customHeight="true" outlineLevel="0" collapsed="false">
      <c r="A42" s="1"/>
      <c r="B42" s="1"/>
      <c r="C42" s="1"/>
      <c r="D42" s="1"/>
      <c r="E42" s="1"/>
      <c r="F42" s="1"/>
      <c r="G42" s="1"/>
      <c r="H42" s="1"/>
      <c r="I42" s="1"/>
      <c r="J42" s="1"/>
      <c r="K42" s="1"/>
      <c r="L42" s="1"/>
    </row>
    <row r="43" customFormat="false" ht="13.5" hidden="false" customHeight="true" outlineLevel="0" collapsed="false">
      <c r="A43" s="1"/>
      <c r="B43" s="1"/>
      <c r="C43" s="1"/>
      <c r="D43" s="1"/>
      <c r="E43" s="1"/>
      <c r="F43" s="1"/>
      <c r="G43" s="1"/>
      <c r="H43" s="1"/>
      <c r="I43" s="1"/>
      <c r="J43" s="1"/>
      <c r="K43" s="1"/>
      <c r="L43" s="1"/>
    </row>
    <row r="44" customFormat="false" ht="13.5" hidden="false" customHeight="true" outlineLevel="0" collapsed="false">
      <c r="A44" s="1"/>
      <c r="B44" s="1"/>
      <c r="C44" s="1"/>
      <c r="D44" s="1"/>
      <c r="E44" s="1"/>
      <c r="F44" s="1"/>
      <c r="G44" s="1"/>
      <c r="H44" s="1"/>
      <c r="I44" s="1"/>
      <c r="J44" s="1"/>
      <c r="K44" s="1"/>
      <c r="L44" s="1"/>
    </row>
    <row r="45" customFormat="false" ht="13.5" hidden="false" customHeight="true" outlineLevel="0" collapsed="false">
      <c r="A45" s="1"/>
      <c r="B45" s="1"/>
      <c r="C45" s="1"/>
      <c r="D45" s="1"/>
      <c r="E45" s="1"/>
      <c r="F45" s="1"/>
      <c r="G45" s="1"/>
      <c r="H45" s="1"/>
      <c r="I45" s="1"/>
      <c r="J45" s="1"/>
      <c r="K45" s="1"/>
      <c r="L45" s="1"/>
    </row>
    <row r="46" customFormat="false" ht="13.5" hidden="false" customHeight="true" outlineLevel="0" collapsed="false">
      <c r="A46" s="1"/>
      <c r="B46" s="1"/>
      <c r="C46" s="1"/>
      <c r="D46" s="1"/>
      <c r="E46" s="1"/>
      <c r="F46" s="1"/>
      <c r="G46" s="1"/>
      <c r="H46" s="1"/>
      <c r="I46" s="1"/>
      <c r="J46" s="1"/>
      <c r="K46" s="1"/>
      <c r="L46" s="1"/>
    </row>
    <row r="47" customFormat="false" ht="13.5" hidden="false" customHeight="true" outlineLevel="0" collapsed="false">
      <c r="A47" s="1"/>
      <c r="B47" s="1"/>
      <c r="C47" s="1"/>
      <c r="D47" s="1"/>
      <c r="E47" s="1"/>
      <c r="F47" s="1"/>
      <c r="G47" s="1"/>
      <c r="H47" s="1"/>
      <c r="I47" s="1"/>
      <c r="J47" s="1"/>
      <c r="K47" s="1"/>
      <c r="L47" s="1"/>
    </row>
    <row r="48" customFormat="false" ht="13.5" hidden="false" customHeight="true" outlineLevel="0" collapsed="false">
      <c r="A48" s="1"/>
      <c r="B48" s="1"/>
      <c r="C48" s="1"/>
      <c r="D48" s="1"/>
      <c r="E48" s="1"/>
      <c r="F48" s="1"/>
      <c r="G48" s="1"/>
      <c r="H48" s="1"/>
      <c r="I48" s="1"/>
      <c r="J48" s="1"/>
      <c r="K48" s="1"/>
      <c r="L48" s="1"/>
    </row>
    <row r="49" customFormat="false" ht="13.5" hidden="false" customHeight="true" outlineLevel="0" collapsed="false">
      <c r="A49" s="1"/>
      <c r="B49" s="1"/>
      <c r="C49" s="1"/>
      <c r="D49" s="1"/>
      <c r="E49" s="1"/>
      <c r="F49" s="1"/>
      <c r="G49" s="1"/>
      <c r="H49" s="1"/>
      <c r="I49" s="1"/>
      <c r="J49" s="1"/>
      <c r="K49" s="1"/>
      <c r="L49" s="1"/>
    </row>
    <row r="50" customFormat="false" ht="13.5" hidden="false" customHeight="true" outlineLevel="0" collapsed="false">
      <c r="A50" s="1"/>
      <c r="B50" s="1"/>
      <c r="C50" s="1"/>
      <c r="D50" s="1"/>
      <c r="E50" s="1"/>
      <c r="F50" s="1"/>
      <c r="G50" s="1"/>
      <c r="H50" s="1"/>
      <c r="I50" s="1"/>
      <c r="J50" s="1"/>
      <c r="K50" s="1"/>
      <c r="L50" s="1"/>
    </row>
    <row r="51" customFormat="false" ht="13.5" hidden="false" customHeight="true" outlineLevel="0" collapsed="false">
      <c r="A51" s="1"/>
      <c r="B51" s="1"/>
      <c r="C51" s="1"/>
      <c r="D51" s="1"/>
      <c r="E51" s="1"/>
      <c r="F51" s="1"/>
      <c r="G51" s="1"/>
      <c r="H51" s="1"/>
      <c r="I51" s="1"/>
      <c r="J51" s="1"/>
      <c r="K51" s="1"/>
      <c r="L51" s="1"/>
    </row>
    <row r="52" customFormat="false" ht="13.5" hidden="false" customHeight="true" outlineLevel="0" collapsed="false">
      <c r="A52" s="1"/>
      <c r="B52" s="1"/>
      <c r="C52" s="1"/>
      <c r="D52" s="1"/>
      <c r="E52" s="1"/>
      <c r="F52" s="1"/>
      <c r="G52" s="1"/>
      <c r="H52" s="1"/>
      <c r="I52" s="1"/>
      <c r="J52" s="1"/>
      <c r="K52" s="1"/>
      <c r="L52" s="1"/>
    </row>
    <row r="53" customFormat="false" ht="13.5" hidden="false" customHeight="true" outlineLevel="0" collapsed="false">
      <c r="A53" s="1"/>
      <c r="B53" s="1"/>
      <c r="C53" s="1"/>
      <c r="D53" s="1"/>
      <c r="E53" s="1"/>
      <c r="F53" s="1"/>
      <c r="G53" s="1"/>
      <c r="H53" s="1"/>
      <c r="I53" s="1"/>
      <c r="J53" s="1"/>
      <c r="K53" s="1"/>
      <c r="L53" s="1"/>
    </row>
    <row r="54" customFormat="false" ht="13.5" hidden="false" customHeight="true" outlineLevel="0" collapsed="false">
      <c r="A54" s="1"/>
      <c r="B54" s="1"/>
      <c r="C54" s="1"/>
      <c r="D54" s="1"/>
      <c r="E54" s="1"/>
      <c r="F54" s="1"/>
      <c r="G54" s="1"/>
      <c r="H54" s="1"/>
      <c r="I54" s="1"/>
      <c r="J54" s="1"/>
      <c r="K54" s="1"/>
      <c r="L54" s="1"/>
    </row>
    <row r="55" customFormat="false" ht="13.5" hidden="false" customHeight="true" outlineLevel="0" collapsed="false">
      <c r="A55" s="1"/>
      <c r="B55" s="1"/>
      <c r="C55" s="1"/>
      <c r="D55" s="1"/>
      <c r="E55" s="1"/>
      <c r="F55" s="1"/>
      <c r="G55" s="1"/>
      <c r="H55" s="1"/>
      <c r="I55" s="1"/>
      <c r="J55" s="1"/>
      <c r="K55" s="1"/>
      <c r="L55" s="1"/>
    </row>
    <row r="56" customFormat="false" ht="13.5" hidden="false" customHeight="true" outlineLevel="0" collapsed="false">
      <c r="A56" s="1"/>
      <c r="B56" s="1"/>
      <c r="C56" s="1"/>
      <c r="D56" s="1"/>
      <c r="E56" s="1"/>
      <c r="F56" s="1"/>
      <c r="G56" s="1"/>
      <c r="H56" s="1"/>
      <c r="I56" s="1"/>
      <c r="J56" s="1"/>
      <c r="K56" s="1"/>
      <c r="L56" s="1"/>
    </row>
    <row r="57" customFormat="false" ht="13.5" hidden="false" customHeight="true" outlineLevel="0" collapsed="false">
      <c r="A57" s="1"/>
      <c r="B57" s="1"/>
      <c r="C57" s="1"/>
      <c r="D57" s="1"/>
      <c r="E57" s="1"/>
      <c r="F57" s="1"/>
      <c r="G57" s="1"/>
      <c r="H57" s="1"/>
      <c r="I57" s="1"/>
      <c r="J57" s="1"/>
      <c r="K57" s="1"/>
      <c r="L57" s="1"/>
    </row>
    <row r="58" customFormat="false" ht="13.5" hidden="false" customHeight="true" outlineLevel="0" collapsed="false">
      <c r="A58" s="1"/>
      <c r="B58" s="1"/>
      <c r="C58" s="1"/>
      <c r="D58" s="1"/>
      <c r="E58" s="1"/>
      <c r="F58" s="1"/>
      <c r="G58" s="1"/>
      <c r="H58" s="1"/>
      <c r="I58" s="1"/>
      <c r="J58" s="1"/>
      <c r="K58" s="1"/>
      <c r="L58" s="1"/>
    </row>
    <row r="59" customFormat="false" ht="18" hidden="false" customHeight="true" outlineLevel="0" collapsed="false">
      <c r="A59" s="1"/>
      <c r="B59" s="16" t="s">
        <v>15</v>
      </c>
      <c r="C59" s="16"/>
      <c r="D59" s="16"/>
      <c r="E59" s="16"/>
      <c r="F59" s="16"/>
      <c r="G59" s="16"/>
      <c r="H59" s="16"/>
      <c r="I59" s="16"/>
      <c r="J59" s="16"/>
      <c r="K59" s="16"/>
      <c r="L59" s="1"/>
    </row>
  </sheetData>
  <mergeCells count="30">
    <mergeCell ref="D2:K2"/>
    <mergeCell ref="D3:K3"/>
    <mergeCell ref="D4:K4"/>
    <mergeCell ref="B8:K8"/>
    <mergeCell ref="B11:D11"/>
    <mergeCell ref="E11:G11"/>
    <mergeCell ref="H11:J11"/>
    <mergeCell ref="B12:D12"/>
    <mergeCell ref="E12:G12"/>
    <mergeCell ref="H12:J12"/>
    <mergeCell ref="B13:D13"/>
    <mergeCell ref="E13:G13"/>
    <mergeCell ref="H13:J13"/>
    <mergeCell ref="B14:D14"/>
    <mergeCell ref="E14:G14"/>
    <mergeCell ref="H14:J14"/>
    <mergeCell ref="B18:D18"/>
    <mergeCell ref="E18:G18"/>
    <mergeCell ref="H18:J18"/>
    <mergeCell ref="B19:D19"/>
    <mergeCell ref="E19:G19"/>
    <mergeCell ref="H19:J19"/>
    <mergeCell ref="B20:D20"/>
    <mergeCell ref="E20:G20"/>
    <mergeCell ref="H20:J20"/>
    <mergeCell ref="B21:D21"/>
    <mergeCell ref="E21:G21"/>
    <mergeCell ref="H21:J21"/>
    <mergeCell ref="B25:K25"/>
    <mergeCell ref="B59:K59"/>
  </mergeCells>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0"/>
    <col collapsed="false" customWidth="true" hidden="false" outlineLevel="0" max="5" min="4" style="0" width="13"/>
    <col collapsed="false" customWidth="true" hidden="false" outlineLevel="0" max="7" min="6" style="0" width="11"/>
    <col collapsed="false" customWidth="true" hidden="false" outlineLevel="0" max="8" min="8" style="0" width="18"/>
    <col collapsed="false" customWidth="true" hidden="false" outlineLevel="0" max="9" min="9" style="0" width="16"/>
    <col collapsed="false" customWidth="true" hidden="false" outlineLevel="0" max="10" min="10" style="0" width="13"/>
    <col collapsed="false" customWidth="true" hidden="false" outlineLevel="0" max="11" min="11" style="0" width="11"/>
    <col collapsed="false" customWidth="true" hidden="false" outlineLevel="0" max="12" min="12" style="0" width="13"/>
    <col collapsed="false" customWidth="true" hidden="false" outlineLevel="0" max="13" min="13" style="0" width="14"/>
    <col collapsed="false" customWidth="true" hidden="false" outlineLevel="0" max="14" min="14" style="0" width="13"/>
  </cols>
  <sheetData>
    <row r="1" customFormat="false" ht="30" hidden="false" customHeight="true" outlineLevel="0" collapsed="false">
      <c r="A1" s="17" t="s">
        <v>16</v>
      </c>
      <c r="B1" s="17"/>
      <c r="C1" s="17"/>
      <c r="D1" s="17"/>
      <c r="E1" s="17"/>
      <c r="F1" s="17"/>
      <c r="G1" s="17"/>
      <c r="H1" s="17"/>
      <c r="I1" s="17"/>
      <c r="J1" s="17"/>
      <c r="K1" s="17"/>
      <c r="L1" s="17"/>
      <c r="M1" s="17"/>
      <c r="N1" s="17"/>
    </row>
    <row r="2" customFormat="false" ht="18" hidden="false" customHeight="true" outlineLevel="0" collapsed="false">
      <c r="A2" s="18" t="s">
        <v>17</v>
      </c>
      <c r="B2" s="18"/>
      <c r="C2" s="18"/>
      <c r="D2" s="18"/>
      <c r="E2" s="18"/>
      <c r="F2" s="18"/>
      <c r="G2" s="18"/>
      <c r="H2" s="18"/>
      <c r="I2" s="18"/>
      <c r="J2" s="18"/>
      <c r="K2" s="18"/>
      <c r="L2" s="18"/>
      <c r="M2" s="18"/>
      <c r="N2" s="18"/>
    </row>
    <row r="3" customFormat="false" ht="3" hidden="false" customHeight="true" outlineLevel="0" collapsed="false">
      <c r="A3" s="5"/>
      <c r="B3" s="5"/>
      <c r="C3" s="5"/>
      <c r="D3" s="5"/>
      <c r="E3" s="5"/>
      <c r="F3" s="5"/>
      <c r="G3" s="5"/>
      <c r="H3" s="5"/>
      <c r="I3" s="5"/>
      <c r="J3" s="5"/>
      <c r="K3" s="5"/>
      <c r="L3" s="5"/>
      <c r="M3" s="5"/>
      <c r="N3" s="5"/>
    </row>
    <row r="4" customFormat="false" ht="9.75" hidden="false" customHeight="true" outlineLevel="0" collapsed="false"/>
    <row r="6" customFormat="false" ht="24" hidden="false" customHeight="true" outlineLevel="0" collapsed="false">
      <c r="A6" s="19" t="s">
        <v>18</v>
      </c>
      <c r="B6" s="20" t="s">
        <v>19</v>
      </c>
      <c r="C6" s="20"/>
      <c r="D6" s="20"/>
      <c r="E6" s="20" t="s">
        <v>20</v>
      </c>
      <c r="F6" s="20"/>
      <c r="G6" s="20"/>
      <c r="H6" s="19" t="s">
        <v>21</v>
      </c>
      <c r="I6" s="20" t="s">
        <v>22</v>
      </c>
      <c r="J6" s="20"/>
      <c r="K6" s="20"/>
      <c r="L6" s="20" t="s">
        <v>23</v>
      </c>
      <c r="M6" s="20"/>
      <c r="N6" s="20"/>
    </row>
    <row r="7" customFormat="false" ht="36" hidden="false" customHeight="true" outlineLevel="0" collapsed="false">
      <c r="A7" s="21" t="s">
        <v>24</v>
      </c>
      <c r="B7" s="21" t="s">
        <v>25</v>
      </c>
      <c r="C7" s="21" t="s">
        <v>26</v>
      </c>
      <c r="D7" s="21" t="s">
        <v>27</v>
      </c>
      <c r="E7" s="21" t="s">
        <v>28</v>
      </c>
      <c r="F7" s="21" t="s">
        <v>29</v>
      </c>
      <c r="G7" s="21" t="s">
        <v>30</v>
      </c>
      <c r="H7" s="21" t="s">
        <v>31</v>
      </c>
      <c r="I7" s="21" t="s">
        <v>32</v>
      </c>
      <c r="J7" s="21" t="s">
        <v>33</v>
      </c>
      <c r="K7" s="21" t="s">
        <v>34</v>
      </c>
      <c r="L7" s="21" t="s">
        <v>35</v>
      </c>
      <c r="M7" s="21" t="s">
        <v>36</v>
      </c>
      <c r="N7" s="21" t="s">
        <v>37</v>
      </c>
    </row>
    <row r="8" customFormat="false" ht="18" hidden="false" customHeight="true" outlineLevel="0" collapsed="false">
      <c r="A8" s="22" t="n">
        <v>46052</v>
      </c>
      <c r="B8" s="23" t="n">
        <v>8</v>
      </c>
      <c r="C8" s="23" t="n">
        <v>4</v>
      </c>
      <c r="D8" s="24" t="n">
        <f aca="false">IFERROR(C8/B8,0)</f>
        <v>0.5</v>
      </c>
      <c r="E8" s="23" t="n">
        <v>118</v>
      </c>
      <c r="F8" s="23" t="n">
        <v>150</v>
      </c>
      <c r="G8" s="24" t="n">
        <f aca="false">IFERROR(E8/F8,0)</f>
        <v>0.786666666666667</v>
      </c>
      <c r="H8" s="25" t="n">
        <v>14160</v>
      </c>
      <c r="I8" s="23" t="n">
        <v>3</v>
      </c>
      <c r="J8" s="23" t="n">
        <v>3</v>
      </c>
      <c r="K8" s="24" t="n">
        <f aca="false">IFERROR(I8/(I8+J8),0)</f>
        <v>0.5</v>
      </c>
      <c r="L8" s="23" t="n">
        <v>28</v>
      </c>
      <c r="M8" s="23" t="n">
        <v>42</v>
      </c>
      <c r="N8" s="24" t="n">
        <f aca="false">IFERROR(L8/M8,0)</f>
        <v>0.666666666666667</v>
      </c>
    </row>
    <row r="9" customFormat="false" ht="18" hidden="false" customHeight="true" outlineLevel="0" collapsed="false">
      <c r="A9" s="26" t="n">
        <v>46059</v>
      </c>
      <c r="B9" s="27" t="n">
        <v>10</v>
      </c>
      <c r="C9" s="27" t="n">
        <v>6</v>
      </c>
      <c r="D9" s="28" t="n">
        <f aca="false">IFERROR(C9/B9,0)</f>
        <v>0.6</v>
      </c>
      <c r="E9" s="27" t="n">
        <v>124</v>
      </c>
      <c r="F9" s="27" t="n">
        <v>150</v>
      </c>
      <c r="G9" s="28" t="n">
        <f aca="false">IFERROR(E9/F9,0)</f>
        <v>0.826666666666667</v>
      </c>
      <c r="H9" s="29" t="n">
        <v>14880</v>
      </c>
      <c r="I9" s="27" t="n">
        <v>4</v>
      </c>
      <c r="J9" s="27" t="n">
        <v>2</v>
      </c>
      <c r="K9" s="28" t="n">
        <f aca="false">IFERROR(I9/(I9+J9),0)</f>
        <v>0.666666666666667</v>
      </c>
      <c r="L9" s="27" t="n">
        <v>32</v>
      </c>
      <c r="M9" s="27" t="n">
        <v>45</v>
      </c>
      <c r="N9" s="28" t="n">
        <f aca="false">IFERROR(L9/M9,0)</f>
        <v>0.711111111111111</v>
      </c>
    </row>
    <row r="10" customFormat="false" ht="18" hidden="false" customHeight="true" outlineLevel="0" collapsed="false">
      <c r="A10" s="22" t="n">
        <v>46066</v>
      </c>
      <c r="B10" s="23" t="n">
        <v>12</v>
      </c>
      <c r="C10" s="23" t="n">
        <v>7</v>
      </c>
      <c r="D10" s="24" t="n">
        <f aca="false">IFERROR(C10/B10,0)</f>
        <v>0.583333333333333</v>
      </c>
      <c r="E10" s="23" t="n">
        <v>132</v>
      </c>
      <c r="F10" s="23" t="n">
        <v>150</v>
      </c>
      <c r="G10" s="24" t="n">
        <f aca="false">IFERROR(E10/F10,0)</f>
        <v>0.88</v>
      </c>
      <c r="H10" s="25" t="n">
        <v>15840</v>
      </c>
      <c r="I10" s="23" t="n">
        <v>4</v>
      </c>
      <c r="J10" s="23" t="n">
        <v>2</v>
      </c>
      <c r="K10" s="24" t="n">
        <f aca="false">IFERROR(I10/(I10+J10),0)</f>
        <v>0.666666666666667</v>
      </c>
      <c r="L10" s="23" t="n">
        <v>35</v>
      </c>
      <c r="M10" s="23" t="n">
        <v>48</v>
      </c>
      <c r="N10" s="24" t="n">
        <f aca="false">IFERROR(L10/M10,0)</f>
        <v>0.729166666666667</v>
      </c>
    </row>
    <row r="11" customFormat="false" ht="18" hidden="false" customHeight="true" outlineLevel="0" collapsed="false">
      <c r="A11" s="26" t="n">
        <v>46073</v>
      </c>
      <c r="B11" s="27" t="n">
        <v>9</v>
      </c>
      <c r="C11" s="27" t="n">
        <v>5</v>
      </c>
      <c r="D11" s="28" t="n">
        <f aca="false">IFERROR(C11/B11,0)</f>
        <v>0.555555555555556</v>
      </c>
      <c r="E11" s="27" t="n">
        <v>128</v>
      </c>
      <c r="F11" s="27" t="n">
        <v>150</v>
      </c>
      <c r="G11" s="28" t="n">
        <f aca="false">IFERROR(E11/F11,0)</f>
        <v>0.853333333333333</v>
      </c>
      <c r="H11" s="29" t="n">
        <v>15360</v>
      </c>
      <c r="I11" s="27" t="n">
        <v>4</v>
      </c>
      <c r="J11" s="27" t="n">
        <v>2</v>
      </c>
      <c r="K11" s="28" t="n">
        <f aca="false">IFERROR(I11/(I11+J11),0)</f>
        <v>0.666666666666667</v>
      </c>
      <c r="L11" s="27" t="n">
        <v>30</v>
      </c>
      <c r="M11" s="27" t="n">
        <v>46</v>
      </c>
      <c r="N11" s="28" t="n">
        <f aca="false">IFERROR(L11/M11,0)</f>
        <v>0.652173913043478</v>
      </c>
    </row>
    <row r="12" customFormat="false" ht="18" hidden="false" customHeight="true" outlineLevel="0" collapsed="false">
      <c r="A12" s="22" t="n">
        <v>46080</v>
      </c>
      <c r="B12" s="23" t="n">
        <v>14</v>
      </c>
      <c r="C12" s="23" t="n">
        <v>9</v>
      </c>
      <c r="D12" s="24" t="n">
        <f aca="false">IFERROR(C12/B12,0)</f>
        <v>0.642857142857143</v>
      </c>
      <c r="E12" s="23" t="n">
        <v>138</v>
      </c>
      <c r="F12" s="23" t="n">
        <v>150</v>
      </c>
      <c r="G12" s="24" t="n">
        <f aca="false">IFERROR(E12/F12,0)</f>
        <v>0.92</v>
      </c>
      <c r="H12" s="25" t="n">
        <v>16560</v>
      </c>
      <c r="I12" s="23" t="n">
        <v>5</v>
      </c>
      <c r="J12" s="23" t="n">
        <v>1</v>
      </c>
      <c r="K12" s="24" t="n">
        <f aca="false">IFERROR(I12/(I12+J12),0)</f>
        <v>0.833333333333333</v>
      </c>
      <c r="L12" s="23" t="n">
        <v>40</v>
      </c>
      <c r="M12" s="23" t="n">
        <v>50</v>
      </c>
      <c r="N12" s="24" t="n">
        <f aca="false">IFERROR(L12/M12,0)</f>
        <v>0.8</v>
      </c>
    </row>
    <row r="13" customFormat="false" ht="18" hidden="false" customHeight="true" outlineLevel="0" collapsed="false">
      <c r="A13" s="26" t="n">
        <v>46087</v>
      </c>
      <c r="B13" s="27" t="n">
        <v>11</v>
      </c>
      <c r="C13" s="27" t="n">
        <v>8</v>
      </c>
      <c r="D13" s="28" t="n">
        <f aca="false">IFERROR(C13/B13,0)</f>
        <v>0.727272727272727</v>
      </c>
      <c r="E13" s="27" t="n">
        <v>135</v>
      </c>
      <c r="F13" s="27" t="n">
        <v>150</v>
      </c>
      <c r="G13" s="28" t="n">
        <f aca="false">IFERROR(E13/F13,0)</f>
        <v>0.9</v>
      </c>
      <c r="H13" s="29" t="n">
        <v>16200</v>
      </c>
      <c r="I13" s="27" t="n">
        <v>5</v>
      </c>
      <c r="J13" s="27" t="n">
        <v>1</v>
      </c>
      <c r="K13" s="28" t="n">
        <f aca="false">IFERROR(I13/(I13+J13),0)</f>
        <v>0.833333333333333</v>
      </c>
      <c r="L13" s="27" t="n">
        <v>38</v>
      </c>
      <c r="M13" s="27" t="n">
        <v>49</v>
      </c>
      <c r="N13" s="28" t="n">
        <f aca="false">IFERROR(L13/M13,0)</f>
        <v>0.775510204081633</v>
      </c>
    </row>
    <row r="14" customFormat="false" ht="18" hidden="false" customHeight="true" outlineLevel="0" collapsed="false">
      <c r="A14" s="22" t="n">
        <v>46094</v>
      </c>
      <c r="B14" s="23" t="n">
        <v>13</v>
      </c>
      <c r="C14" s="23" t="n">
        <v>9</v>
      </c>
      <c r="D14" s="24" t="n">
        <f aca="false">IFERROR(C14/B14,0)</f>
        <v>0.692307692307692</v>
      </c>
      <c r="E14" s="23" t="n">
        <v>140</v>
      </c>
      <c r="F14" s="23" t="n">
        <v>150</v>
      </c>
      <c r="G14" s="24" t="n">
        <f aca="false">IFERROR(E14/F14,0)</f>
        <v>0.933333333333333</v>
      </c>
      <c r="H14" s="25" t="n">
        <v>16800</v>
      </c>
      <c r="I14" s="23" t="n">
        <v>5</v>
      </c>
      <c r="J14" s="23" t="n">
        <v>1</v>
      </c>
      <c r="K14" s="24" t="n">
        <f aca="false">IFERROR(I14/(I14+J14),0)</f>
        <v>0.833333333333333</v>
      </c>
      <c r="L14" s="23" t="n">
        <v>42</v>
      </c>
      <c r="M14" s="23" t="n">
        <v>51</v>
      </c>
      <c r="N14" s="24" t="n">
        <f aca="false">IFERROR(L14/M14,0)</f>
        <v>0.823529411764706</v>
      </c>
    </row>
    <row r="15" customFormat="false" ht="18" hidden="false" customHeight="true" outlineLevel="0" collapsed="false">
      <c r="A15" s="26" t="n">
        <v>46101</v>
      </c>
      <c r="B15" s="27" t="n">
        <v>15</v>
      </c>
      <c r="C15" s="27" t="n">
        <v>11</v>
      </c>
      <c r="D15" s="28" t="n">
        <f aca="false">IFERROR(C15/B15,0)</f>
        <v>0.733333333333333</v>
      </c>
      <c r="E15" s="27" t="n">
        <v>144</v>
      </c>
      <c r="F15" s="27" t="n">
        <v>150</v>
      </c>
      <c r="G15" s="28" t="n">
        <f aca="false">IFERROR(E15/F15,0)</f>
        <v>0.96</v>
      </c>
      <c r="H15" s="29" t="n">
        <v>17280</v>
      </c>
      <c r="I15" s="27" t="n">
        <v>5</v>
      </c>
      <c r="J15" s="27" t="n">
        <v>1</v>
      </c>
      <c r="K15" s="28" t="n">
        <f aca="false">IFERROR(I15/(I15+J15),0)</f>
        <v>0.833333333333333</v>
      </c>
      <c r="L15" s="27" t="n">
        <v>45</v>
      </c>
      <c r="M15" s="27" t="n">
        <v>52</v>
      </c>
      <c r="N15" s="28" t="n">
        <f aca="false">IFERROR(L15/M15,0)</f>
        <v>0.865384615384615</v>
      </c>
    </row>
    <row r="16" customFormat="false" ht="18" hidden="false" customHeight="true" outlineLevel="0" collapsed="false">
      <c r="A16" s="22" t="n">
        <v>46108</v>
      </c>
      <c r="B16" s="23" t="n">
        <v>12</v>
      </c>
      <c r="C16" s="23" t="n">
        <v>9</v>
      </c>
      <c r="D16" s="24" t="n">
        <f aca="false">IFERROR(C16/B16,0)</f>
        <v>0.75</v>
      </c>
      <c r="E16" s="23" t="n">
        <v>142</v>
      </c>
      <c r="F16" s="23" t="n">
        <v>150</v>
      </c>
      <c r="G16" s="24" t="n">
        <f aca="false">IFERROR(E16/F16,0)</f>
        <v>0.946666666666667</v>
      </c>
      <c r="H16" s="25" t="n">
        <v>17040</v>
      </c>
      <c r="I16" s="23" t="n">
        <v>5</v>
      </c>
      <c r="J16" s="23" t="n">
        <v>1</v>
      </c>
      <c r="K16" s="24" t="n">
        <f aca="false">IFERROR(I16/(I16+J16),0)</f>
        <v>0.833333333333333</v>
      </c>
      <c r="L16" s="23" t="n">
        <v>46</v>
      </c>
      <c r="M16" s="23" t="n">
        <v>52</v>
      </c>
      <c r="N16" s="24" t="n">
        <f aca="false">IFERROR(L16/M16,0)</f>
        <v>0.884615384615385</v>
      </c>
    </row>
    <row r="17" customFormat="false" ht="18" hidden="false" customHeight="true" outlineLevel="0" collapsed="false">
      <c r="A17" s="26" t="n">
        <v>46115</v>
      </c>
      <c r="B17" s="27" t="n">
        <v>10</v>
      </c>
      <c r="C17" s="27" t="n">
        <v>7</v>
      </c>
      <c r="D17" s="28" t="n">
        <f aca="false">IFERROR(C17/B17,0)</f>
        <v>0.7</v>
      </c>
      <c r="E17" s="27" t="n">
        <v>138</v>
      </c>
      <c r="F17" s="27" t="n">
        <v>150</v>
      </c>
      <c r="G17" s="28" t="n">
        <f aca="false">IFERROR(E17/F17,0)</f>
        <v>0.92</v>
      </c>
      <c r="H17" s="29" t="n">
        <v>16560</v>
      </c>
      <c r="I17" s="27" t="n">
        <v>5</v>
      </c>
      <c r="J17" s="27" t="n">
        <v>1</v>
      </c>
      <c r="K17" s="28" t="n">
        <f aca="false">IFERROR(I17/(I17+J17),0)</f>
        <v>0.833333333333333</v>
      </c>
      <c r="L17" s="27" t="n">
        <v>44</v>
      </c>
      <c r="M17" s="27" t="n">
        <v>50</v>
      </c>
      <c r="N17" s="28" t="n">
        <f aca="false">IFERROR(L17/M17,0)</f>
        <v>0.88</v>
      </c>
    </row>
    <row r="18" customFormat="false" ht="18" hidden="false" customHeight="true" outlineLevel="0" collapsed="false">
      <c r="A18" s="22" t="n">
        <v>46122</v>
      </c>
      <c r="B18" s="23" t="n">
        <v>14</v>
      </c>
      <c r="C18" s="23" t="n">
        <v>10</v>
      </c>
      <c r="D18" s="24" t="n">
        <f aca="false">IFERROR(C18/B18,0)</f>
        <v>0.714285714285714</v>
      </c>
      <c r="E18" s="23" t="n">
        <v>145</v>
      </c>
      <c r="F18" s="23" t="n">
        <v>150</v>
      </c>
      <c r="G18" s="24" t="n">
        <f aca="false">IFERROR(E18/F18,0)</f>
        <v>0.966666666666667</v>
      </c>
      <c r="H18" s="25" t="n">
        <v>17400</v>
      </c>
      <c r="I18" s="23" t="n">
        <v>6</v>
      </c>
      <c r="J18" s="23" t="n">
        <v>0</v>
      </c>
      <c r="K18" s="24" t="n">
        <f aca="false">IFERROR(I18/(I18+J18),0)</f>
        <v>1</v>
      </c>
      <c r="L18" s="23" t="n">
        <v>48</v>
      </c>
      <c r="M18" s="23" t="n">
        <v>53</v>
      </c>
      <c r="N18" s="24" t="n">
        <f aca="false">IFERROR(L18/M18,0)</f>
        <v>0.905660377358491</v>
      </c>
    </row>
    <row r="19" customFormat="false" ht="18" hidden="false" customHeight="true" outlineLevel="0" collapsed="false">
      <c r="A19" s="26" t="n">
        <v>46129</v>
      </c>
      <c r="B19" s="27" t="n">
        <v>13</v>
      </c>
      <c r="C19" s="27" t="n">
        <v>10</v>
      </c>
      <c r="D19" s="28" t="n">
        <f aca="false">IFERROR(C19/B19,0)</f>
        <v>0.769230769230769</v>
      </c>
      <c r="E19" s="27" t="n">
        <v>147</v>
      </c>
      <c r="F19" s="27" t="n">
        <v>150</v>
      </c>
      <c r="G19" s="28" t="n">
        <f aca="false">IFERROR(E19/F19,0)</f>
        <v>0.98</v>
      </c>
      <c r="H19" s="29" t="n">
        <v>17640</v>
      </c>
      <c r="I19" s="27" t="n">
        <v>6</v>
      </c>
      <c r="J19" s="27" t="n">
        <v>0</v>
      </c>
      <c r="K19" s="28" t="n">
        <f aca="false">IFERROR(I19/(I19+J19),0)</f>
        <v>1</v>
      </c>
      <c r="L19" s="27" t="n">
        <v>50</v>
      </c>
      <c r="M19" s="27" t="n">
        <v>53</v>
      </c>
      <c r="N19" s="28" t="n">
        <f aca="false">IFERROR(L19/M19,0)</f>
        <v>0.943396226415094</v>
      </c>
    </row>
    <row r="20" customFormat="false" ht="15" hidden="false" customHeight="false" outlineLevel="0" collapsed="false">
      <c r="A20" s="22"/>
      <c r="B20" s="23"/>
      <c r="C20" s="23"/>
      <c r="D20" s="24" t="n">
        <f aca="false">IFERROR(C20/B20,0)</f>
        <v>0</v>
      </c>
      <c r="E20" s="23"/>
      <c r="F20" s="23"/>
      <c r="G20" s="24" t="n">
        <f aca="false">IFERROR(E20/F20,0)</f>
        <v>0</v>
      </c>
      <c r="H20" s="25"/>
      <c r="I20" s="23"/>
      <c r="J20" s="23"/>
      <c r="K20" s="24" t="n">
        <f aca="false">IFERROR(I20/(I20+J20),0)</f>
        <v>0</v>
      </c>
      <c r="L20" s="23"/>
      <c r="M20" s="23"/>
      <c r="N20" s="24" t="n">
        <f aca="false">IFERROR(L20/M20,0)</f>
        <v>0</v>
      </c>
    </row>
    <row r="21" customFormat="false" ht="15" hidden="false" customHeight="false" outlineLevel="0" collapsed="false">
      <c r="A21" s="26"/>
      <c r="B21" s="27"/>
      <c r="C21" s="27"/>
      <c r="D21" s="28" t="n">
        <f aca="false">IFERROR(C21/B21,0)</f>
        <v>0</v>
      </c>
      <c r="E21" s="27"/>
      <c r="F21" s="27"/>
      <c r="G21" s="28" t="n">
        <f aca="false">IFERROR(E21/F21,0)</f>
        <v>0</v>
      </c>
      <c r="H21" s="29"/>
      <c r="I21" s="27"/>
      <c r="J21" s="27"/>
      <c r="K21" s="28" t="n">
        <f aca="false">IFERROR(I21/(I21+J21),0)</f>
        <v>0</v>
      </c>
      <c r="L21" s="27"/>
      <c r="M21" s="27"/>
      <c r="N21" s="28" t="n">
        <f aca="false">IFERROR(L21/M21,0)</f>
        <v>0</v>
      </c>
    </row>
    <row r="22" customFormat="false" ht="15" hidden="false" customHeight="false" outlineLevel="0" collapsed="false">
      <c r="A22" s="22"/>
      <c r="B22" s="23"/>
      <c r="C22" s="23"/>
      <c r="D22" s="24" t="n">
        <f aca="false">IFERROR(C22/B22,0)</f>
        <v>0</v>
      </c>
      <c r="E22" s="23"/>
      <c r="F22" s="23"/>
      <c r="G22" s="24" t="n">
        <f aca="false">IFERROR(E22/F22,0)</f>
        <v>0</v>
      </c>
      <c r="H22" s="25"/>
      <c r="I22" s="23"/>
      <c r="J22" s="23"/>
      <c r="K22" s="24" t="n">
        <f aca="false">IFERROR(I22/(I22+J22),0)</f>
        <v>0</v>
      </c>
      <c r="L22" s="23"/>
      <c r="M22" s="23"/>
      <c r="N22" s="24" t="n">
        <f aca="false">IFERROR(L22/M22,0)</f>
        <v>0</v>
      </c>
    </row>
    <row r="23" customFormat="false" ht="15" hidden="false" customHeight="false" outlineLevel="0" collapsed="false">
      <c r="A23" s="26"/>
      <c r="B23" s="27"/>
      <c r="C23" s="27"/>
      <c r="D23" s="28" t="n">
        <f aca="false">IFERROR(C23/B23,0)</f>
        <v>0</v>
      </c>
      <c r="E23" s="27"/>
      <c r="F23" s="27"/>
      <c r="G23" s="28" t="n">
        <f aca="false">IFERROR(E23/F23,0)</f>
        <v>0</v>
      </c>
      <c r="H23" s="29"/>
      <c r="I23" s="27"/>
      <c r="J23" s="27"/>
      <c r="K23" s="28" t="n">
        <f aca="false">IFERROR(I23/(I23+J23),0)</f>
        <v>0</v>
      </c>
      <c r="L23" s="27"/>
      <c r="M23" s="27"/>
      <c r="N23" s="28" t="n">
        <f aca="false">IFERROR(L23/M23,0)</f>
        <v>0</v>
      </c>
    </row>
    <row r="24" customFormat="false" ht="15" hidden="false" customHeight="false" outlineLevel="0" collapsed="false">
      <c r="A24" s="22"/>
      <c r="B24" s="23"/>
      <c r="C24" s="23"/>
      <c r="D24" s="24" t="n">
        <f aca="false">IFERROR(C24/B24,0)</f>
        <v>0</v>
      </c>
      <c r="E24" s="23"/>
      <c r="F24" s="23"/>
      <c r="G24" s="24" t="n">
        <f aca="false">IFERROR(E24/F24,0)</f>
        <v>0</v>
      </c>
      <c r="H24" s="25"/>
      <c r="I24" s="23"/>
      <c r="J24" s="23"/>
      <c r="K24" s="24" t="n">
        <f aca="false">IFERROR(I24/(I24+J24),0)</f>
        <v>0</v>
      </c>
      <c r="L24" s="23"/>
      <c r="M24" s="23"/>
      <c r="N24" s="24" t="n">
        <f aca="false">IFERROR(L24/M24,0)</f>
        <v>0</v>
      </c>
    </row>
    <row r="25" customFormat="false" ht="15" hidden="false" customHeight="false" outlineLevel="0" collapsed="false">
      <c r="A25" s="26"/>
      <c r="B25" s="27"/>
      <c r="C25" s="27"/>
      <c r="D25" s="28" t="n">
        <f aca="false">IFERROR(C25/B25,0)</f>
        <v>0</v>
      </c>
      <c r="E25" s="27"/>
      <c r="F25" s="27"/>
      <c r="G25" s="28" t="n">
        <f aca="false">IFERROR(E25/F25,0)</f>
        <v>0</v>
      </c>
      <c r="H25" s="29"/>
      <c r="I25" s="27"/>
      <c r="J25" s="27"/>
      <c r="K25" s="28" t="n">
        <f aca="false">IFERROR(I25/(I25+J25),0)</f>
        <v>0</v>
      </c>
      <c r="L25" s="27"/>
      <c r="M25" s="27"/>
      <c r="N25" s="28" t="n">
        <f aca="false">IFERROR(L25/M25,0)</f>
        <v>0</v>
      </c>
    </row>
    <row r="26" customFormat="false" ht="15" hidden="false" customHeight="false" outlineLevel="0" collapsed="false">
      <c r="A26" s="22"/>
      <c r="B26" s="23"/>
      <c r="C26" s="23"/>
      <c r="D26" s="24" t="n">
        <f aca="false">IFERROR(C26/B26,0)</f>
        <v>0</v>
      </c>
      <c r="E26" s="23"/>
      <c r="F26" s="23"/>
      <c r="G26" s="24" t="n">
        <f aca="false">IFERROR(E26/F26,0)</f>
        <v>0</v>
      </c>
      <c r="H26" s="25"/>
      <c r="I26" s="23"/>
      <c r="J26" s="23"/>
      <c r="K26" s="24" t="n">
        <f aca="false">IFERROR(I26/(I26+J26),0)</f>
        <v>0</v>
      </c>
      <c r="L26" s="23"/>
      <c r="M26" s="23"/>
      <c r="N26" s="24" t="n">
        <f aca="false">IFERROR(L26/M26,0)</f>
        <v>0</v>
      </c>
    </row>
    <row r="27" customFormat="false" ht="15" hidden="false" customHeight="false" outlineLevel="0" collapsed="false">
      <c r="A27" s="26"/>
      <c r="B27" s="27"/>
      <c r="C27" s="27"/>
      <c r="D27" s="28" t="n">
        <f aca="false">IFERROR(C27/B27,0)</f>
        <v>0</v>
      </c>
      <c r="E27" s="27"/>
      <c r="F27" s="27"/>
      <c r="G27" s="28" t="n">
        <f aca="false">IFERROR(E27/F27,0)</f>
        <v>0</v>
      </c>
      <c r="H27" s="29"/>
      <c r="I27" s="27"/>
      <c r="J27" s="27"/>
      <c r="K27" s="28" t="n">
        <f aca="false">IFERROR(I27/(I27+J27),0)</f>
        <v>0</v>
      </c>
      <c r="L27" s="27"/>
      <c r="M27" s="27"/>
      <c r="N27" s="28" t="n">
        <f aca="false">IFERROR(L27/M27,0)</f>
        <v>0</v>
      </c>
    </row>
    <row r="28" customFormat="false" ht="15" hidden="false" customHeight="false" outlineLevel="0" collapsed="false">
      <c r="A28" s="22"/>
      <c r="B28" s="23"/>
      <c r="C28" s="23"/>
      <c r="D28" s="24" t="n">
        <f aca="false">IFERROR(C28/B28,0)</f>
        <v>0</v>
      </c>
      <c r="E28" s="23"/>
      <c r="F28" s="23"/>
      <c r="G28" s="24" t="n">
        <f aca="false">IFERROR(E28/F28,0)</f>
        <v>0</v>
      </c>
      <c r="H28" s="25"/>
      <c r="I28" s="23"/>
      <c r="J28" s="23"/>
      <c r="K28" s="24" t="n">
        <f aca="false">IFERROR(I28/(I28+J28),0)</f>
        <v>0</v>
      </c>
      <c r="L28" s="23"/>
      <c r="M28" s="23"/>
      <c r="N28" s="24" t="n">
        <f aca="false">IFERROR(L28/M28,0)</f>
        <v>0</v>
      </c>
    </row>
    <row r="29" customFormat="false" ht="15" hidden="false" customHeight="false" outlineLevel="0" collapsed="false">
      <c r="A29" s="26"/>
      <c r="B29" s="27"/>
      <c r="C29" s="27"/>
      <c r="D29" s="28" t="n">
        <f aca="false">IFERROR(C29/B29,0)</f>
        <v>0</v>
      </c>
      <c r="E29" s="27"/>
      <c r="F29" s="27"/>
      <c r="G29" s="28" t="n">
        <f aca="false">IFERROR(E29/F29,0)</f>
        <v>0</v>
      </c>
      <c r="H29" s="29"/>
      <c r="I29" s="27"/>
      <c r="J29" s="27"/>
      <c r="K29" s="28" t="n">
        <f aca="false">IFERROR(I29/(I29+J29),0)</f>
        <v>0</v>
      </c>
      <c r="L29" s="27"/>
      <c r="M29" s="27"/>
      <c r="N29" s="28" t="n">
        <f aca="false">IFERROR(L29/M29,0)</f>
        <v>0</v>
      </c>
    </row>
    <row r="30" customFormat="false" ht="15" hidden="false" customHeight="false" outlineLevel="0" collapsed="false">
      <c r="A30" s="22"/>
      <c r="B30" s="23"/>
      <c r="C30" s="23"/>
      <c r="D30" s="24" t="n">
        <f aca="false">IFERROR(C30/B30,0)</f>
        <v>0</v>
      </c>
      <c r="E30" s="23"/>
      <c r="F30" s="23"/>
      <c r="G30" s="24" t="n">
        <f aca="false">IFERROR(E30/F30,0)</f>
        <v>0</v>
      </c>
      <c r="H30" s="25"/>
      <c r="I30" s="23"/>
      <c r="J30" s="23"/>
      <c r="K30" s="24" t="n">
        <f aca="false">IFERROR(I30/(I30+J30),0)</f>
        <v>0</v>
      </c>
      <c r="L30" s="23"/>
      <c r="M30" s="23"/>
      <c r="N30" s="24" t="n">
        <f aca="false">IFERROR(L30/M30,0)</f>
        <v>0</v>
      </c>
    </row>
    <row r="31" customFormat="false" ht="15" hidden="false" customHeight="false" outlineLevel="0" collapsed="false">
      <c r="A31" s="26"/>
      <c r="B31" s="27"/>
      <c r="C31" s="27"/>
      <c r="D31" s="28" t="n">
        <f aca="false">IFERROR(C31/B31,0)</f>
        <v>0</v>
      </c>
      <c r="E31" s="27"/>
      <c r="F31" s="27"/>
      <c r="G31" s="28" t="n">
        <f aca="false">IFERROR(E31/F31,0)</f>
        <v>0</v>
      </c>
      <c r="H31" s="29"/>
      <c r="I31" s="27"/>
      <c r="J31" s="27"/>
      <c r="K31" s="28" t="n">
        <f aca="false">IFERROR(I31/(I31+J31),0)</f>
        <v>0</v>
      </c>
      <c r="L31" s="27"/>
      <c r="M31" s="27"/>
      <c r="N31" s="28" t="n">
        <f aca="false">IFERROR(L31/M31,0)</f>
        <v>0</v>
      </c>
    </row>
    <row r="32" customFormat="false" ht="15" hidden="false" customHeight="false" outlineLevel="0" collapsed="false">
      <c r="A32" s="22"/>
      <c r="B32" s="23"/>
      <c r="C32" s="23"/>
      <c r="D32" s="24" t="n">
        <f aca="false">IFERROR(C32/B32,0)</f>
        <v>0</v>
      </c>
      <c r="E32" s="23"/>
      <c r="F32" s="23"/>
      <c r="G32" s="24" t="n">
        <f aca="false">IFERROR(E32/F32,0)</f>
        <v>0</v>
      </c>
      <c r="H32" s="25"/>
      <c r="I32" s="23"/>
      <c r="J32" s="23"/>
      <c r="K32" s="24" t="n">
        <f aca="false">IFERROR(I32/(I32+J32),0)</f>
        <v>0</v>
      </c>
      <c r="L32" s="23"/>
      <c r="M32" s="23"/>
      <c r="N32" s="24" t="n">
        <f aca="false">IFERROR(L32/M32,0)</f>
        <v>0</v>
      </c>
    </row>
    <row r="33" customFormat="false" ht="15" hidden="false" customHeight="false" outlineLevel="0" collapsed="false">
      <c r="A33" s="26"/>
      <c r="B33" s="27"/>
      <c r="C33" s="27"/>
      <c r="D33" s="28" t="n">
        <f aca="false">IFERROR(C33/B33,0)</f>
        <v>0</v>
      </c>
      <c r="E33" s="27"/>
      <c r="F33" s="27"/>
      <c r="G33" s="28" t="n">
        <f aca="false">IFERROR(E33/F33,0)</f>
        <v>0</v>
      </c>
      <c r="H33" s="29"/>
      <c r="I33" s="27"/>
      <c r="J33" s="27"/>
      <c r="K33" s="28" t="n">
        <f aca="false">IFERROR(I33/(I33+J33),0)</f>
        <v>0</v>
      </c>
      <c r="L33" s="27"/>
      <c r="M33" s="27"/>
      <c r="N33" s="28" t="n">
        <f aca="false">IFERROR(L33/M33,0)</f>
        <v>0</v>
      </c>
    </row>
    <row r="35" customFormat="false" ht="21.75" hidden="false" customHeight="true" outlineLevel="0" collapsed="false">
      <c r="A35" s="30" t="s">
        <v>38</v>
      </c>
      <c r="B35" s="31" t="n">
        <f aca="false">AVERAGE(B8:B19)</f>
        <v>11.75</v>
      </c>
      <c r="C35" s="31" t="n">
        <f aca="false">AVERAGE(C8:C19)</f>
        <v>7.91666666666667</v>
      </c>
      <c r="D35" s="32" t="n">
        <f aca="false">IFERROR(AVERAGE(C8:C19)/AVERAGE(B8:B19),0)</f>
        <v>0.673758865248227</v>
      </c>
      <c r="E35" s="31" t="n">
        <f aca="false">AVERAGE(E8:E19)</f>
        <v>135.916666666667</v>
      </c>
      <c r="F35" s="31" t="n">
        <f aca="false">AVERAGE(F8:F19)</f>
        <v>150</v>
      </c>
      <c r="G35" s="32" t="n">
        <f aca="false">IFERROR(AVERAGE(E8:E19)/AVERAGE(F8:F19),0)</f>
        <v>0.906111111111111</v>
      </c>
      <c r="H35" s="33" t="n">
        <f aca="false">AVERAGE(H8:H19)</f>
        <v>16310</v>
      </c>
      <c r="I35" s="31" t="n">
        <f aca="false">AVERAGE(I8:I19)</f>
        <v>4.75</v>
      </c>
      <c r="J35" s="31" t="n">
        <f aca="false">AVERAGE(J8:J19)</f>
        <v>1.25</v>
      </c>
      <c r="K35" s="32" t="n">
        <f aca="false">IFERROR(AVERAGE(I8:I19)/(AVERAGE(I8:I19)+AVERAGE(J8:J19)),0)</f>
        <v>0.791666666666667</v>
      </c>
      <c r="L35" s="31" t="n">
        <f aca="false">AVERAGE(L8:L19)</f>
        <v>39.8333333333333</v>
      </c>
      <c r="M35" s="31" t="n">
        <f aca="false">AVERAGE(M8:M19)</f>
        <v>49.25</v>
      </c>
      <c r="N35" s="32" t="n">
        <f aca="false">IFERROR(AVERAGE(L8:L19)/AVERAGE(M8:M19),0)</f>
        <v>0.808798646362098</v>
      </c>
    </row>
  </sheetData>
  <mergeCells count="6">
    <mergeCell ref="A1:N1"/>
    <mergeCell ref="A2:N2"/>
    <mergeCell ref="B6:D6"/>
    <mergeCell ref="E6:G6"/>
    <mergeCell ref="I6:K6"/>
    <mergeCell ref="L6:N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1" style="0" width="18"/>
  </cols>
  <sheetData>
    <row r="1" customFormat="false" ht="30" hidden="false" customHeight="true" outlineLevel="0" collapsed="false">
      <c r="A1" s="34" t="s">
        <v>14</v>
      </c>
      <c r="B1" s="34"/>
      <c r="C1" s="34"/>
      <c r="D1" s="34"/>
      <c r="E1" s="34"/>
      <c r="F1" s="34"/>
      <c r="G1" s="34"/>
      <c r="H1" s="34"/>
    </row>
    <row r="2" customFormat="false" ht="15" hidden="false" customHeight="false" outlineLevel="0" collapsed="false">
      <c r="A2" s="18" t="s">
        <v>39</v>
      </c>
      <c r="B2" s="18"/>
      <c r="C2" s="18"/>
      <c r="D2" s="18"/>
      <c r="E2" s="18"/>
      <c r="F2" s="18"/>
      <c r="G2" s="18"/>
      <c r="H2" s="18"/>
    </row>
    <row r="3" customFormat="false" ht="3" hidden="false" customHeight="true" outlineLevel="0" collapsed="false">
      <c r="A3" s="5"/>
      <c r="B3" s="5"/>
      <c r="C3" s="5"/>
      <c r="D3" s="5"/>
      <c r="E3" s="5"/>
      <c r="F3" s="5"/>
      <c r="G3" s="5"/>
      <c r="H3" s="5"/>
    </row>
    <row r="4" customFormat="false" ht="27.75" hidden="false" customHeight="true" outlineLevel="0" collapsed="false">
      <c r="A4" s="35" t="s">
        <v>18</v>
      </c>
      <c r="B4" s="35" t="s">
        <v>25</v>
      </c>
      <c r="C4" s="35" t="s">
        <v>27</v>
      </c>
      <c r="D4" s="35" t="s">
        <v>40</v>
      </c>
      <c r="E4" s="35" t="s">
        <v>21</v>
      </c>
      <c r="F4" s="35" t="s">
        <v>41</v>
      </c>
      <c r="G4" s="35" t="s">
        <v>42</v>
      </c>
    </row>
    <row r="5" customFormat="false" ht="15" hidden="false" customHeight="false" outlineLevel="0" collapsed="false">
      <c r="A5" s="36" t="n">
        <f aca="false">'Weekly Entry'!A8</f>
        <v>46052</v>
      </c>
      <c r="B5" s="37" t="n">
        <f aca="false">'Weekly Entry'!B8</f>
        <v>8</v>
      </c>
      <c r="C5" s="24" t="n">
        <f aca="false">'Weekly Entry'!D8</f>
        <v>0.5</v>
      </c>
      <c r="D5" s="24" t="n">
        <f aca="false">'Weekly Entry'!G8</f>
        <v>0.786666666666667</v>
      </c>
      <c r="E5" s="38" t="n">
        <f aca="false">'Weekly Entry'!H8</f>
        <v>14160</v>
      </c>
      <c r="F5" s="24" t="n">
        <f aca="false">'Weekly Entry'!K8</f>
        <v>0.5</v>
      </c>
      <c r="G5" s="24" t="n">
        <f aca="false">'Weekly Entry'!N8</f>
        <v>0.666666666666667</v>
      </c>
    </row>
    <row r="6" customFormat="false" ht="15" hidden="false" customHeight="false" outlineLevel="0" collapsed="false">
      <c r="A6" s="39" t="n">
        <f aca="false">'Weekly Entry'!A9</f>
        <v>46059</v>
      </c>
      <c r="B6" s="40" t="n">
        <f aca="false">'Weekly Entry'!B9</f>
        <v>10</v>
      </c>
      <c r="C6" s="28" t="n">
        <f aca="false">'Weekly Entry'!D9</f>
        <v>0.6</v>
      </c>
      <c r="D6" s="28" t="n">
        <f aca="false">'Weekly Entry'!G9</f>
        <v>0.826666666666667</v>
      </c>
      <c r="E6" s="41" t="n">
        <f aca="false">'Weekly Entry'!H9</f>
        <v>14880</v>
      </c>
      <c r="F6" s="28" t="n">
        <f aca="false">'Weekly Entry'!K9</f>
        <v>0.666666666666667</v>
      </c>
      <c r="G6" s="28" t="n">
        <f aca="false">'Weekly Entry'!N9</f>
        <v>0.711111111111111</v>
      </c>
    </row>
    <row r="7" customFormat="false" ht="15" hidden="false" customHeight="false" outlineLevel="0" collapsed="false">
      <c r="A7" s="36" t="n">
        <f aca="false">'Weekly Entry'!A10</f>
        <v>46066</v>
      </c>
      <c r="B7" s="37" t="n">
        <f aca="false">'Weekly Entry'!B10</f>
        <v>12</v>
      </c>
      <c r="C7" s="24" t="n">
        <f aca="false">'Weekly Entry'!D10</f>
        <v>0.583333333333333</v>
      </c>
      <c r="D7" s="24" t="n">
        <f aca="false">'Weekly Entry'!G10</f>
        <v>0.88</v>
      </c>
      <c r="E7" s="38" t="n">
        <f aca="false">'Weekly Entry'!H10</f>
        <v>15840</v>
      </c>
      <c r="F7" s="24" t="n">
        <f aca="false">'Weekly Entry'!K10</f>
        <v>0.666666666666667</v>
      </c>
      <c r="G7" s="24" t="n">
        <f aca="false">'Weekly Entry'!N10</f>
        <v>0.729166666666667</v>
      </c>
    </row>
    <row r="8" customFormat="false" ht="15" hidden="false" customHeight="false" outlineLevel="0" collapsed="false">
      <c r="A8" s="39" t="n">
        <f aca="false">'Weekly Entry'!A11</f>
        <v>46073</v>
      </c>
      <c r="B8" s="40" t="n">
        <f aca="false">'Weekly Entry'!B11</f>
        <v>9</v>
      </c>
      <c r="C8" s="28" t="n">
        <f aca="false">'Weekly Entry'!D11</f>
        <v>0.555555555555556</v>
      </c>
      <c r="D8" s="28" t="n">
        <f aca="false">'Weekly Entry'!G11</f>
        <v>0.853333333333333</v>
      </c>
      <c r="E8" s="41" t="n">
        <f aca="false">'Weekly Entry'!H11</f>
        <v>15360</v>
      </c>
      <c r="F8" s="28" t="n">
        <f aca="false">'Weekly Entry'!K11</f>
        <v>0.666666666666667</v>
      </c>
      <c r="G8" s="28" t="n">
        <f aca="false">'Weekly Entry'!N11</f>
        <v>0.652173913043478</v>
      </c>
    </row>
    <row r="9" customFormat="false" ht="15" hidden="false" customHeight="false" outlineLevel="0" collapsed="false">
      <c r="A9" s="36" t="n">
        <f aca="false">'Weekly Entry'!A12</f>
        <v>46080</v>
      </c>
      <c r="B9" s="37" t="n">
        <f aca="false">'Weekly Entry'!B12</f>
        <v>14</v>
      </c>
      <c r="C9" s="24" t="n">
        <f aca="false">'Weekly Entry'!D12</f>
        <v>0.642857142857143</v>
      </c>
      <c r="D9" s="24" t="n">
        <f aca="false">'Weekly Entry'!G12</f>
        <v>0.92</v>
      </c>
      <c r="E9" s="38" t="n">
        <f aca="false">'Weekly Entry'!H12</f>
        <v>16560</v>
      </c>
      <c r="F9" s="24" t="n">
        <f aca="false">'Weekly Entry'!K12</f>
        <v>0.833333333333333</v>
      </c>
      <c r="G9" s="24" t="n">
        <f aca="false">'Weekly Entry'!N12</f>
        <v>0.8</v>
      </c>
    </row>
    <row r="10" customFormat="false" ht="15" hidden="false" customHeight="false" outlineLevel="0" collapsed="false">
      <c r="A10" s="39" t="n">
        <f aca="false">'Weekly Entry'!A13</f>
        <v>46087</v>
      </c>
      <c r="B10" s="40" t="n">
        <f aca="false">'Weekly Entry'!B13</f>
        <v>11</v>
      </c>
      <c r="C10" s="28" t="n">
        <f aca="false">'Weekly Entry'!D13</f>
        <v>0.727272727272727</v>
      </c>
      <c r="D10" s="28" t="n">
        <f aca="false">'Weekly Entry'!G13</f>
        <v>0.9</v>
      </c>
      <c r="E10" s="41" t="n">
        <f aca="false">'Weekly Entry'!H13</f>
        <v>16200</v>
      </c>
      <c r="F10" s="28" t="n">
        <f aca="false">'Weekly Entry'!K13</f>
        <v>0.833333333333333</v>
      </c>
      <c r="G10" s="28" t="n">
        <f aca="false">'Weekly Entry'!N13</f>
        <v>0.775510204081633</v>
      </c>
    </row>
    <row r="11" customFormat="false" ht="15" hidden="false" customHeight="false" outlineLevel="0" collapsed="false">
      <c r="A11" s="36" t="n">
        <f aca="false">'Weekly Entry'!A14</f>
        <v>46094</v>
      </c>
      <c r="B11" s="37" t="n">
        <f aca="false">'Weekly Entry'!B14</f>
        <v>13</v>
      </c>
      <c r="C11" s="24" t="n">
        <f aca="false">'Weekly Entry'!D14</f>
        <v>0.692307692307692</v>
      </c>
      <c r="D11" s="24" t="n">
        <f aca="false">'Weekly Entry'!G14</f>
        <v>0.933333333333333</v>
      </c>
      <c r="E11" s="38" t="n">
        <f aca="false">'Weekly Entry'!H14</f>
        <v>16800</v>
      </c>
      <c r="F11" s="24" t="n">
        <f aca="false">'Weekly Entry'!K14</f>
        <v>0.833333333333333</v>
      </c>
      <c r="G11" s="24" t="n">
        <f aca="false">'Weekly Entry'!N14</f>
        <v>0.823529411764706</v>
      </c>
    </row>
    <row r="12" customFormat="false" ht="15" hidden="false" customHeight="false" outlineLevel="0" collapsed="false">
      <c r="A12" s="39" t="n">
        <f aca="false">'Weekly Entry'!A15</f>
        <v>46101</v>
      </c>
      <c r="B12" s="40" t="n">
        <f aca="false">'Weekly Entry'!B15</f>
        <v>15</v>
      </c>
      <c r="C12" s="28" t="n">
        <f aca="false">'Weekly Entry'!D15</f>
        <v>0.733333333333333</v>
      </c>
      <c r="D12" s="28" t="n">
        <f aca="false">'Weekly Entry'!G15</f>
        <v>0.96</v>
      </c>
      <c r="E12" s="41" t="n">
        <f aca="false">'Weekly Entry'!H15</f>
        <v>17280</v>
      </c>
      <c r="F12" s="28" t="n">
        <f aca="false">'Weekly Entry'!K15</f>
        <v>0.833333333333333</v>
      </c>
      <c r="G12" s="28" t="n">
        <f aca="false">'Weekly Entry'!N15</f>
        <v>0.865384615384615</v>
      </c>
    </row>
    <row r="13" customFormat="false" ht="15" hidden="false" customHeight="false" outlineLevel="0" collapsed="false">
      <c r="A13" s="36" t="n">
        <f aca="false">'Weekly Entry'!A16</f>
        <v>46108</v>
      </c>
      <c r="B13" s="37" t="n">
        <f aca="false">'Weekly Entry'!B16</f>
        <v>12</v>
      </c>
      <c r="C13" s="24" t="n">
        <f aca="false">'Weekly Entry'!D16</f>
        <v>0.75</v>
      </c>
      <c r="D13" s="24" t="n">
        <f aca="false">'Weekly Entry'!G16</f>
        <v>0.946666666666667</v>
      </c>
      <c r="E13" s="38" t="n">
        <f aca="false">'Weekly Entry'!H16</f>
        <v>17040</v>
      </c>
      <c r="F13" s="24" t="n">
        <f aca="false">'Weekly Entry'!K16</f>
        <v>0.833333333333333</v>
      </c>
      <c r="G13" s="24" t="n">
        <f aca="false">'Weekly Entry'!N16</f>
        <v>0.884615384615385</v>
      </c>
    </row>
    <row r="14" customFormat="false" ht="15" hidden="false" customHeight="false" outlineLevel="0" collapsed="false">
      <c r="A14" s="39" t="n">
        <f aca="false">'Weekly Entry'!A17</f>
        <v>46115</v>
      </c>
      <c r="B14" s="40" t="n">
        <f aca="false">'Weekly Entry'!B17</f>
        <v>10</v>
      </c>
      <c r="C14" s="28" t="n">
        <f aca="false">'Weekly Entry'!D17</f>
        <v>0.7</v>
      </c>
      <c r="D14" s="28" t="n">
        <f aca="false">'Weekly Entry'!G17</f>
        <v>0.92</v>
      </c>
      <c r="E14" s="41" t="n">
        <f aca="false">'Weekly Entry'!H17</f>
        <v>16560</v>
      </c>
      <c r="F14" s="28" t="n">
        <f aca="false">'Weekly Entry'!K17</f>
        <v>0.833333333333333</v>
      </c>
      <c r="G14" s="28" t="n">
        <f aca="false">'Weekly Entry'!N17</f>
        <v>0.88</v>
      </c>
    </row>
    <row r="15" customFormat="false" ht="15" hidden="false" customHeight="false" outlineLevel="0" collapsed="false">
      <c r="A15" s="36" t="n">
        <f aca="false">'Weekly Entry'!A18</f>
        <v>46122</v>
      </c>
      <c r="B15" s="37" t="n">
        <f aca="false">'Weekly Entry'!B18</f>
        <v>14</v>
      </c>
      <c r="C15" s="24" t="n">
        <f aca="false">'Weekly Entry'!D18</f>
        <v>0.714285714285714</v>
      </c>
      <c r="D15" s="24" t="n">
        <f aca="false">'Weekly Entry'!G18</f>
        <v>0.966666666666667</v>
      </c>
      <c r="E15" s="38" t="n">
        <f aca="false">'Weekly Entry'!H18</f>
        <v>17400</v>
      </c>
      <c r="F15" s="24" t="n">
        <f aca="false">'Weekly Entry'!K18</f>
        <v>1</v>
      </c>
      <c r="G15" s="24" t="n">
        <f aca="false">'Weekly Entry'!N18</f>
        <v>0.905660377358491</v>
      </c>
    </row>
    <row r="16" customFormat="false" ht="15" hidden="false" customHeight="false" outlineLevel="0" collapsed="false">
      <c r="A16" s="39" t="n">
        <f aca="false">'Weekly Entry'!A19</f>
        <v>46129</v>
      </c>
      <c r="B16" s="40" t="n">
        <f aca="false">'Weekly Entry'!B19</f>
        <v>13</v>
      </c>
      <c r="C16" s="28" t="n">
        <f aca="false">'Weekly Entry'!D19</f>
        <v>0.769230769230769</v>
      </c>
      <c r="D16" s="28" t="n">
        <f aca="false">'Weekly Entry'!G19</f>
        <v>0.98</v>
      </c>
      <c r="E16" s="41" t="n">
        <f aca="false">'Weekly Entry'!H19</f>
        <v>17640</v>
      </c>
      <c r="F16" s="28" t="n">
        <f aca="false">'Weekly Entry'!K19</f>
        <v>1</v>
      </c>
      <c r="G16" s="28" t="n">
        <f aca="false">'Weekly Entry'!N19</f>
        <v>0.943396226415094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80"/>
    <col collapsed="false" customWidth="true" hidden="false" outlineLevel="0" max="4" min="4" style="0" width="2"/>
  </cols>
  <sheetData>
    <row r="1" customFormat="false" ht="31.5" hidden="false" customHeight="true" outlineLevel="0" collapsed="false">
      <c r="B1" s="42" t="s">
        <v>43</v>
      </c>
      <c r="C1" s="42"/>
    </row>
    <row r="2" customFormat="false" ht="21.75" hidden="false" customHeight="true" outlineLevel="0" collapsed="false">
      <c r="B2" s="43" t="s">
        <v>44</v>
      </c>
      <c r="C2" s="43"/>
    </row>
    <row r="3" customFormat="false" ht="3" hidden="false" customHeight="true" outlineLevel="0" collapsed="false">
      <c r="B3" s="5"/>
      <c r="C3" s="5"/>
    </row>
    <row r="4" customFormat="false" ht="7.5" hidden="false" customHeight="true" outlineLevel="0" collapsed="false"/>
    <row r="5" customFormat="false" ht="25.5" hidden="false" customHeight="true" outlineLevel="0" collapsed="false">
      <c r="B5" s="44" t="s">
        <v>45</v>
      </c>
      <c r="C5" s="44"/>
    </row>
    <row r="6" customFormat="false" ht="37.5" hidden="false" customHeight="true" outlineLevel="0" collapsed="false">
      <c r="B6" s="45" t="s">
        <v>46</v>
      </c>
      <c r="C6" s="45"/>
    </row>
    <row r="7" customFormat="false" ht="7.5" hidden="false" customHeight="true" outlineLevel="0" collapsed="false"/>
    <row r="8" customFormat="false" ht="37.5" hidden="false" customHeight="true" outlineLevel="0" collapsed="false">
      <c r="B8" s="45" t="s">
        <v>47</v>
      </c>
      <c r="C8" s="45"/>
    </row>
    <row r="9" customFormat="false" ht="7.5" hidden="false" customHeight="true" outlineLevel="0" collapsed="false"/>
    <row r="10" customFormat="false" ht="37.5" hidden="false" customHeight="true" outlineLevel="0" collapsed="false">
      <c r="B10" s="45" t="s">
        <v>48</v>
      </c>
      <c r="C10" s="45"/>
    </row>
    <row r="11" customFormat="false" ht="7.5" hidden="false" customHeight="true" outlineLevel="0" collapsed="false"/>
    <row r="12" customFormat="false" ht="27.75" hidden="false" customHeight="true" outlineLevel="0" collapsed="false">
      <c r="B12" s="46" t="s">
        <v>49</v>
      </c>
      <c r="C12" s="46"/>
    </row>
    <row r="13" customFormat="false" ht="3" hidden="false" customHeight="true" outlineLevel="0" collapsed="false">
      <c r="B13" s="15"/>
      <c r="C13" s="15"/>
    </row>
    <row r="15" customFormat="false" ht="24" hidden="false" customHeight="true" outlineLevel="0" collapsed="false">
      <c r="B15" s="47" t="s">
        <v>50</v>
      </c>
      <c r="C15" s="47"/>
    </row>
    <row r="16" customFormat="false" ht="43.5" hidden="false" customHeight="true" outlineLevel="0" collapsed="false">
      <c r="B16" s="48" t="s">
        <v>51</v>
      </c>
      <c r="C16" s="49" t="s">
        <v>52</v>
      </c>
    </row>
    <row r="17" customFormat="false" ht="43.5" hidden="false" customHeight="true" outlineLevel="0" collapsed="false">
      <c r="B17" s="48" t="s">
        <v>53</v>
      </c>
      <c r="C17" s="49" t="s">
        <v>54</v>
      </c>
    </row>
    <row r="18" customFormat="false" ht="43.5" hidden="false" customHeight="true" outlineLevel="0" collapsed="false">
      <c r="B18" s="48" t="s">
        <v>55</v>
      </c>
      <c r="C18" s="49" t="s">
        <v>56</v>
      </c>
    </row>
    <row r="20" customFormat="false" ht="24" hidden="false" customHeight="true" outlineLevel="0" collapsed="false">
      <c r="B20" s="47" t="s">
        <v>57</v>
      </c>
      <c r="C20" s="47"/>
    </row>
    <row r="21" customFormat="false" ht="43.5" hidden="false" customHeight="true" outlineLevel="0" collapsed="false">
      <c r="B21" s="48" t="s">
        <v>51</v>
      </c>
      <c r="C21" s="49" t="s">
        <v>58</v>
      </c>
    </row>
    <row r="22" customFormat="false" ht="43.5" hidden="false" customHeight="true" outlineLevel="0" collapsed="false">
      <c r="B22" s="48" t="s">
        <v>53</v>
      </c>
      <c r="C22" s="49" t="s">
        <v>59</v>
      </c>
    </row>
    <row r="23" customFormat="false" ht="43.5" hidden="false" customHeight="true" outlineLevel="0" collapsed="false">
      <c r="B23" s="48" t="s">
        <v>55</v>
      </c>
      <c r="C23" s="49" t="s">
        <v>60</v>
      </c>
    </row>
    <row r="25" customFormat="false" ht="24" hidden="false" customHeight="true" outlineLevel="0" collapsed="false">
      <c r="B25" s="47" t="s">
        <v>61</v>
      </c>
      <c r="C25" s="47"/>
    </row>
    <row r="26" customFormat="false" ht="43.5" hidden="false" customHeight="true" outlineLevel="0" collapsed="false">
      <c r="B26" s="48" t="s">
        <v>51</v>
      </c>
      <c r="C26" s="49" t="s">
        <v>62</v>
      </c>
    </row>
    <row r="27" customFormat="false" ht="43.5" hidden="false" customHeight="true" outlineLevel="0" collapsed="false">
      <c r="B27" s="48" t="s">
        <v>53</v>
      </c>
      <c r="C27" s="49" t="s">
        <v>63</v>
      </c>
    </row>
    <row r="28" customFormat="false" ht="43.5" hidden="false" customHeight="true" outlineLevel="0" collapsed="false">
      <c r="B28" s="48" t="s">
        <v>55</v>
      </c>
      <c r="C28" s="49" t="s">
        <v>64</v>
      </c>
    </row>
    <row r="30" customFormat="false" ht="24" hidden="false" customHeight="true" outlineLevel="0" collapsed="false">
      <c r="B30" s="47" t="s">
        <v>65</v>
      </c>
      <c r="C30" s="47"/>
    </row>
    <row r="31" customFormat="false" ht="43.5" hidden="false" customHeight="true" outlineLevel="0" collapsed="false">
      <c r="B31" s="48" t="s">
        <v>51</v>
      </c>
      <c r="C31" s="49" t="s">
        <v>66</v>
      </c>
    </row>
    <row r="32" customFormat="false" ht="43.5" hidden="false" customHeight="true" outlineLevel="0" collapsed="false">
      <c r="B32" s="48" t="s">
        <v>53</v>
      </c>
      <c r="C32" s="49" t="s">
        <v>67</v>
      </c>
    </row>
    <row r="33" customFormat="false" ht="43.5" hidden="false" customHeight="true" outlineLevel="0" collapsed="false">
      <c r="B33" s="48" t="s">
        <v>55</v>
      </c>
      <c r="C33" s="49" t="s">
        <v>68</v>
      </c>
    </row>
    <row r="35" customFormat="false" ht="24" hidden="false" customHeight="true" outlineLevel="0" collapsed="false">
      <c r="B35" s="47" t="s">
        <v>69</v>
      </c>
      <c r="C35" s="47"/>
    </row>
    <row r="36" customFormat="false" ht="43.5" hidden="false" customHeight="true" outlineLevel="0" collapsed="false">
      <c r="B36" s="48" t="s">
        <v>51</v>
      </c>
      <c r="C36" s="49" t="s">
        <v>70</v>
      </c>
    </row>
    <row r="37" customFormat="false" ht="43.5" hidden="false" customHeight="true" outlineLevel="0" collapsed="false">
      <c r="B37" s="48" t="s">
        <v>53</v>
      </c>
      <c r="C37" s="49" t="s">
        <v>71</v>
      </c>
    </row>
    <row r="38" customFormat="false" ht="43.5" hidden="false" customHeight="true" outlineLevel="0" collapsed="false">
      <c r="B38" s="48" t="s">
        <v>55</v>
      </c>
      <c r="C38" s="49" t="s">
        <v>72</v>
      </c>
    </row>
    <row r="40" customFormat="false" ht="24" hidden="false" customHeight="true" outlineLevel="0" collapsed="false">
      <c r="B40" s="47" t="s">
        <v>73</v>
      </c>
      <c r="C40" s="47"/>
    </row>
    <row r="41" customFormat="false" ht="43.5" hidden="false" customHeight="true" outlineLevel="0" collapsed="false">
      <c r="B41" s="48" t="s">
        <v>51</v>
      </c>
      <c r="C41" s="49" t="s">
        <v>74</v>
      </c>
    </row>
    <row r="42" customFormat="false" ht="43.5" hidden="false" customHeight="true" outlineLevel="0" collapsed="false">
      <c r="B42" s="48" t="s">
        <v>53</v>
      </c>
      <c r="C42" s="49" t="s">
        <v>75</v>
      </c>
    </row>
    <row r="43" customFormat="false" ht="43.5" hidden="false" customHeight="true" outlineLevel="0" collapsed="false">
      <c r="B43" s="48" t="s">
        <v>55</v>
      </c>
      <c r="C43" s="49" t="s">
        <v>76</v>
      </c>
    </row>
    <row r="46" customFormat="false" ht="24" hidden="false" customHeight="true" outlineLevel="0" collapsed="false">
      <c r="B46" s="44" t="s">
        <v>77</v>
      </c>
      <c r="C46" s="44"/>
    </row>
    <row r="48" customFormat="false" ht="60" hidden="false" customHeight="true" outlineLevel="0" collapsed="false">
      <c r="B48" s="45" t="s">
        <v>78</v>
      </c>
      <c r="C48" s="45"/>
    </row>
    <row r="50" customFormat="false" ht="21.75" hidden="false" customHeight="true" outlineLevel="0" collapsed="false">
      <c r="B50" s="50" t="s">
        <v>79</v>
      </c>
      <c r="C50" s="50"/>
    </row>
  </sheetData>
  <mergeCells count="16">
    <mergeCell ref="B1:C1"/>
    <mergeCell ref="B2:C2"/>
    <mergeCell ref="B5:C5"/>
    <mergeCell ref="B6:C6"/>
    <mergeCell ref="B8:C8"/>
    <mergeCell ref="B10:C10"/>
    <mergeCell ref="B12:C12"/>
    <mergeCell ref="B15:C15"/>
    <mergeCell ref="B20:C20"/>
    <mergeCell ref="B25:C25"/>
    <mergeCell ref="B30:C30"/>
    <mergeCell ref="B35:C35"/>
    <mergeCell ref="B40:C40"/>
    <mergeCell ref="B46:C46"/>
    <mergeCell ref="B48:C48"/>
    <mergeCell ref="B50:C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2026-04-20T20:23:51Z</dcterms:created>
  <dc:creator>openpyxl</dc:creator>
  <dc:description/>
  <dc:language>en-US</dc:language>
  <cp:lastModifiedBy/>
  <dcterms:modified xsi:type="dcterms:W3CDTF">2026-04-20T16:23:53Z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